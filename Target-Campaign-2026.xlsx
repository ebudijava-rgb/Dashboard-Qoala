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16" windowHeight="8976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<sst xmlns="http://schemas.openxmlformats.org/spreadsheetml/2006/main" count="702" uniqueCount="249">
  <si>
    <t>No</t>
  </si>
  <si>
    <t>Store Name</t>
  </si>
  <si>
    <t>Partner</t>
  </si>
  <si>
    <t>RH</t>
  </si>
  <si>
    <t>AM</t>
  </si>
  <si>
    <t>SPA</t>
  </si>
  <si>
    <t>PA</t>
  </si>
  <si>
    <t>Target Sep</t>
  </si>
  <si>
    <t>Target Oct</t>
  </si>
  <si>
    <t>Target Nov</t>
  </si>
  <si>
    <t>Target Dec</t>
  </si>
  <si>
    <t>Total</t>
  </si>
  <si>
    <t>Digiplus Gadjah Mada Plaza</t>
  </si>
  <si>
    <t>Digiplus</t>
  </si>
  <si>
    <t>Dzikri Rahmadanor</t>
  </si>
  <si>
    <t>Digiplus Grand Metropolitan Mall Bekasi</t>
  </si>
  <si>
    <t>Digiplus Lippo Ekalokasari</t>
  </si>
  <si>
    <t>Digiplus Margo City</t>
  </si>
  <si>
    <t>Digiplus Metmall Bekasi</t>
  </si>
  <si>
    <t>Digiplus Pakuwon Mall Bekasi</t>
  </si>
  <si>
    <t>Digiplus PIK Avenue</t>
  </si>
  <si>
    <t>Digiplus Plaza Atrium Senen</t>
  </si>
  <si>
    <t>Digiplus Summarecon Mall Bekasi</t>
  </si>
  <si>
    <t>Digiplus The Park Pejaten</t>
  </si>
  <si>
    <t>Digiplus The Park Sawangan</t>
  </si>
  <si>
    <t>Samsung SES Shilla at Sawangan</t>
  </si>
  <si>
    <t>Samsung SESP HIVE Harapan Indah</t>
  </si>
  <si>
    <t>SOGO Emporium Pluit</t>
  </si>
  <si>
    <t>Digiplus Arkana 23 - POJ</t>
  </si>
  <si>
    <t>Alex</t>
  </si>
  <si>
    <t>Digiplus Armada Town Square</t>
  </si>
  <si>
    <t>Digiplus DP Mall Semarang</t>
  </si>
  <si>
    <t>Digiplus Jogja City Mall</t>
  </si>
  <si>
    <t>Digiplus Klaten Town Square</t>
  </si>
  <si>
    <t>Digiplus Lippo Plaza Yogyakarta</t>
  </si>
  <si>
    <t>Digiplus Mal Ciputra Semarang</t>
  </si>
  <si>
    <t>Digiplus Pakuwon Mall Yogyakarta</t>
  </si>
  <si>
    <t>Digiplus Purwokerto</t>
  </si>
  <si>
    <t>Digiplus Queen City Mall Semarang</t>
  </si>
  <si>
    <t>Digiplus Rita Supermall Tegal</t>
  </si>
  <si>
    <t>Digiplus Sleman City Hall</t>
  </si>
  <si>
    <t>Digiplus Solo Paragon</t>
  </si>
  <si>
    <t>Digiplus The Park Semarang</t>
  </si>
  <si>
    <t>Digiplus The Park Solo</t>
  </si>
  <si>
    <t>Samsung Pacific Mall Tegal</t>
  </si>
  <si>
    <t>Samsung Rita Supermall Tegal</t>
  </si>
  <si>
    <t>DIgiplus Arion Mall</t>
  </si>
  <si>
    <t>Digiplus Ciputra Jakarta</t>
  </si>
  <si>
    <t>Digiplus Grand Indonesia</t>
  </si>
  <si>
    <t>Digiplus Kota Kasablanka</t>
  </si>
  <si>
    <t>Digiplus Living World Grand Wisata</t>
  </si>
  <si>
    <t>Digiplus Mall Artha Gading</t>
  </si>
  <si>
    <t>Digiplus Mall Bassura</t>
  </si>
  <si>
    <t>Digiplus Metropolitan Cileungsi</t>
  </si>
  <si>
    <t>Digiplus Summarecon Mall Kelapa Gading</t>
  </si>
  <si>
    <t>Planet Sports Grand Indonesia</t>
  </si>
  <si>
    <t>Planet Sports MKG</t>
  </si>
  <si>
    <t>Seibu Grand Indonesia</t>
  </si>
  <si>
    <t>SOGO Central Park</t>
  </si>
  <si>
    <t>SOGO Kota Kasablanka</t>
  </si>
  <si>
    <t>SOGO Mall Kelapa Gading</t>
  </si>
  <si>
    <t>Ambon City Center</t>
  </si>
  <si>
    <t>Digimap</t>
  </si>
  <si>
    <t>Shufi</t>
  </si>
  <si>
    <t>Citimall Cianjur</t>
  </si>
  <si>
    <t>Diana Mall Timika</t>
  </si>
  <si>
    <t>Jatinangor Town Square</t>
  </si>
  <si>
    <t>Juanda Tasikmalaya</t>
  </si>
  <si>
    <t>Kingsmall Bandung</t>
  </si>
  <si>
    <t>Kota Baru Parahyangan</t>
  </si>
  <si>
    <t>Mall Indramayu</t>
  </si>
  <si>
    <t>Paskal 23 Bandung</t>
  </si>
  <si>
    <t>Street Ciumbuleuit Bandung</t>
  </si>
  <si>
    <t>Tenth Avenue Bandung</t>
  </si>
  <si>
    <t>Trans Studio Mall Bandung</t>
  </si>
  <si>
    <t>AEON Mall BSD</t>
  </si>
  <si>
    <t>Andi Sawito</t>
  </si>
  <si>
    <t>AEON Mall Deltamas</t>
  </si>
  <si>
    <t>AEON Mall Sentul</t>
  </si>
  <si>
    <t>Citra Grand Cibubur</t>
  </si>
  <si>
    <t>Harapan Indah HIVE</t>
  </si>
  <si>
    <t>Living World Kota Wisata</t>
  </si>
  <si>
    <t>Revo Town</t>
  </si>
  <si>
    <t>Street BSD Loka</t>
  </si>
  <si>
    <t>Street Ciputat Raya</t>
  </si>
  <si>
    <t>Street Shilla at Sawangan</t>
  </si>
  <si>
    <t>Supermall Karawaci</t>
  </si>
  <si>
    <t>Trans Studio Cibubur</t>
  </si>
  <si>
    <t>Digiplus Big Mall Samarinda</t>
  </si>
  <si>
    <t>Digiplus Bulusaraung</t>
  </si>
  <si>
    <t>Digiplus Citimall Bontang</t>
  </si>
  <si>
    <t>Digiplus Citimall Gorontalo</t>
  </si>
  <si>
    <t>Digiplus Duta Mall Banjarmasin</t>
  </si>
  <si>
    <t>Digiplus E Walk Balikpapan Superblock</t>
  </si>
  <si>
    <t>Digiplus Lippo Plaza Baubau</t>
  </si>
  <si>
    <t>Digiplus Lippo Plaza Kendari</t>
  </si>
  <si>
    <t>Digiplus Mall Ratu Indah</t>
  </si>
  <si>
    <t>Digiplus Nipah Mall Makassar</t>
  </si>
  <si>
    <t>Digiplus Qmall Banjarbaru</t>
  </si>
  <si>
    <t>Digiplus Samarinda Central Plaza</t>
  </si>
  <si>
    <t>Digiplus Street Boulevard Makassar</t>
  </si>
  <si>
    <t>Digiplus Trans Studio Mall Makassar</t>
  </si>
  <si>
    <t>Samsung SPS Grand Palu</t>
  </si>
  <si>
    <t>City Plaza Jatinegara</t>
  </si>
  <si>
    <t>Emporium Pluit</t>
  </si>
  <si>
    <t>Grand Indonesia</t>
  </si>
  <si>
    <t>Lippo Plaza Kramat Jati</t>
  </si>
  <si>
    <t>Mall Cijantung</t>
  </si>
  <si>
    <t>Mall Puri Indah</t>
  </si>
  <si>
    <t>Mall Taman Anggrek</t>
  </si>
  <si>
    <t>Street Elang Laut</t>
  </si>
  <si>
    <t>Sunter Mall</t>
  </si>
  <si>
    <t>AEON Mall Tanjung Barat</t>
  </si>
  <si>
    <t>Antasari Place</t>
  </si>
  <si>
    <t>Blok M Plaza</t>
  </si>
  <si>
    <t>Lotte Shopping Avenue</t>
  </si>
  <si>
    <t>Pacific Place</t>
  </si>
  <si>
    <t>Plaza Semanggi</t>
  </si>
  <si>
    <t>Plaza Senayan</t>
  </si>
  <si>
    <t>Pondok Indah Mall</t>
  </si>
  <si>
    <t>Pondok Indah Mall 3</t>
  </si>
  <si>
    <t>Digiplus Bintaro Exchange</t>
  </si>
  <si>
    <t>Digiplus Cibinong City Mall</t>
  </si>
  <si>
    <t>Digiplus FX Sudirman</t>
  </si>
  <si>
    <t>Digiplus Gandaria City</t>
  </si>
  <si>
    <t>Digiplus Living World Alam Sutera</t>
  </si>
  <si>
    <t>Digiplus Lotte Avenue</t>
  </si>
  <si>
    <t>Digiplus Mall Ciputra Tangerang</t>
  </si>
  <si>
    <t>Digiplus Puri Indah Mall</t>
  </si>
  <si>
    <t>Digiplus Street Ruko Terogong</t>
  </si>
  <si>
    <t>Digiplus Summarecon Mall Serpong</t>
  </si>
  <si>
    <t>Digiplus Transpark Bintaro</t>
  </si>
  <si>
    <t>Planet Sports BXC2</t>
  </si>
  <si>
    <t>Planet Sports PIM</t>
  </si>
  <si>
    <t>Planet Sports Senayan City</t>
  </si>
  <si>
    <t>Samsung SESP Plaza Semanggi</t>
  </si>
  <si>
    <t>Digiplus AEON Mall Deltamas</t>
  </si>
  <si>
    <t>Digiplus Bandung Electronic City</t>
  </si>
  <si>
    <t>Digiplus Bandung Indah Plaza</t>
  </si>
  <si>
    <t>Digiplus Cirebon Superblock</t>
  </si>
  <si>
    <t>Digiplus Citimall Garut</t>
  </si>
  <si>
    <t>Digiplus Festival Citylink</t>
  </si>
  <si>
    <t>Digiplus Grage Mall Cirebon</t>
  </si>
  <si>
    <t>Digiplus Karawang Central Plaza</t>
  </si>
  <si>
    <t>Digiplus Parahyangan</t>
  </si>
  <si>
    <t>Digiplus Paris Van Java</t>
  </si>
  <si>
    <t>Digiplus Resinda Park Mall</t>
  </si>
  <si>
    <t>Digiplus Summarecon Bandung</t>
  </si>
  <si>
    <t>Digiplus The Grand Outlet</t>
  </si>
  <si>
    <t>Samsung The Grand Outlet</t>
  </si>
  <si>
    <t>SOGO PVJ Bandung</t>
  </si>
  <si>
    <t>Digiplus Bencoolen Mall</t>
  </si>
  <si>
    <t>Digiplus Delipark Medan</t>
  </si>
  <si>
    <t>Digiplus Jambi Town Square</t>
  </si>
  <si>
    <t>Digiplus K Square Mall</t>
  </si>
  <si>
    <t>Digiplus Mall Kartini Lampung</t>
  </si>
  <si>
    <t>Digiplus Manhattan Town Square</t>
  </si>
  <si>
    <t>Digiplus Mega Mall Batam Center</t>
  </si>
  <si>
    <t>Digiplus One Mall Batam</t>
  </si>
  <si>
    <t>Digiplus Palembang Icon</t>
  </si>
  <si>
    <t>Digiplus Palembang Trade Center</t>
  </si>
  <si>
    <t>Digiplus SKA Mall Pekanbaru</t>
  </si>
  <si>
    <t>Digiplus Sun Plaza Medan</t>
  </si>
  <si>
    <t>Digiplus The Plaza Millenium Medan</t>
  </si>
  <si>
    <t>Samsung SESP Basko Padang</t>
  </si>
  <si>
    <t>Samsung SPS Suzuya Merdeka Mall Siantar</t>
  </si>
  <si>
    <t>SOGO Deli Park Mall</t>
  </si>
  <si>
    <t>Ayani Pontianak</t>
  </si>
  <si>
    <t>Citimall Baturaja</t>
  </si>
  <si>
    <t>Citimall Lahat</t>
  </si>
  <si>
    <t>Citimall Pangkalan Bun</t>
  </si>
  <si>
    <t>Citimall Prabumulih</t>
  </si>
  <si>
    <t>Citimall Sampit</t>
  </si>
  <si>
    <t>Grand Tarakan Mall</t>
  </si>
  <si>
    <t>Lippo Plaza Jambi</t>
  </si>
  <si>
    <t>Lippo Plaza Palangkaraya</t>
  </si>
  <si>
    <t>Lubuk Linggau</t>
  </si>
  <si>
    <t>Metro Lampung</t>
  </si>
  <si>
    <t>Palembang Indah Mall</t>
  </si>
  <si>
    <t>Plaza Balikpapan</t>
  </si>
  <si>
    <t>WTC Jambi</t>
  </si>
  <si>
    <t>Blitar Square</t>
  </si>
  <si>
    <t>Ciputra World Surabaya</t>
  </si>
  <si>
    <t>Lippo Plaza Batu</t>
  </si>
  <si>
    <t>Malang Town Square</t>
  </si>
  <si>
    <t>Pakuwon Mall</t>
  </si>
  <si>
    <t>Ponorogo City Center</t>
  </si>
  <si>
    <t>Roxy Square Jember</t>
  </si>
  <si>
    <t>Street Basuki Rahmat Tulungagung</t>
  </si>
  <si>
    <t>Street Ruko Mojokerto</t>
  </si>
  <si>
    <t>Beachwalk Bali</t>
  </si>
  <si>
    <t>Dhesmon</t>
  </si>
  <si>
    <t>Digiplus Living World Denpasar</t>
  </si>
  <si>
    <t>Digiplus Mall Bali Galeria</t>
  </si>
  <si>
    <t>Digiplus Sira Village Bali</t>
  </si>
  <si>
    <t>Digiplus Street Teuku Umar Bali</t>
  </si>
  <si>
    <t>Digiplus Trans Studio Mall Bali</t>
  </si>
  <si>
    <t>Icon Sanur Bali</t>
  </si>
  <si>
    <t>Mall Bali Galeria</t>
  </si>
  <si>
    <t>Sunset Road Bali</t>
  </si>
  <si>
    <t>Digiplus Citimall Kapuas</t>
  </si>
  <si>
    <t>Digiplus Citimall Ketapang</t>
  </si>
  <si>
    <t>Digiplus Duta Mall Palangkaraya</t>
  </si>
  <si>
    <t>Digiplus Gaia Bumi Raya Pontianak</t>
  </si>
  <si>
    <t>Digiplus Galaxy Mall Surabaya</t>
  </si>
  <si>
    <t>Digiplus Lombok Epicentrum</t>
  </si>
  <si>
    <t>Digiplus Malang</t>
  </si>
  <si>
    <t>Digiplus Maluku City Mall</t>
  </si>
  <si>
    <t>Digiplus Marina Surabaya</t>
  </si>
  <si>
    <t>Digiplus Pakuwon City Mall 3</t>
  </si>
  <si>
    <t>Digiplus Pop Up Sunrise</t>
  </si>
  <si>
    <t>Digiplus Royal Plaza Surabaya</t>
  </si>
  <si>
    <t>Digiplus Sunrise Mojokerto</t>
  </si>
  <si>
    <t>Digiplus Tunjungan Plaza 3</t>
  </si>
  <si>
    <t>Digiplus WTC Surabaya</t>
  </si>
  <si>
    <t>Planet Sports Tunjungan Plaza</t>
  </si>
  <si>
    <t>Samsung Unimas Sidoarjo</t>
  </si>
  <si>
    <t>ASS Mall Brebes</t>
  </si>
  <si>
    <t>Java Mall Semarang</t>
  </si>
  <si>
    <t>Kudus Ext Mall</t>
  </si>
  <si>
    <t>Malioboro Mall</t>
  </si>
  <si>
    <t>Mall Tentrem Semarang</t>
  </si>
  <si>
    <t>Pacific Mall Tegal</t>
  </si>
  <si>
    <t>Pakuwon Mall Solo Baru</t>
  </si>
  <si>
    <t>Ruko Salatiga</t>
  </si>
  <si>
    <t>Solo Square</t>
  </si>
  <si>
    <t>Street Ngaliyan Semarang</t>
  </si>
  <si>
    <t>Citimall Tuban</t>
  </si>
  <si>
    <t>Galaxy Mall Surabaya</t>
  </si>
  <si>
    <t>Gresik Mall</t>
  </si>
  <si>
    <t>MERR Surabaya</t>
  </si>
  <si>
    <t>Plaza Surabaya</t>
  </si>
  <si>
    <t>Ruko Bojonegoro</t>
  </si>
  <si>
    <t>Suncity Sidoarjo</t>
  </si>
  <si>
    <t>Trans Icon Surabaya</t>
  </si>
  <si>
    <t>Tunjungan Plaza 3</t>
  </si>
  <si>
    <t>Unimas District Sidoarjo</t>
  </si>
  <si>
    <t>Basko Citymall</t>
  </si>
  <si>
    <t>Basko Grand Mall</t>
  </si>
  <si>
    <t>Binjai Supermall</t>
  </si>
  <si>
    <t>Center Point Medan</t>
  </si>
  <si>
    <t>Citimall Dumai</t>
  </si>
  <si>
    <t>Grand Mall Palu</t>
  </si>
  <si>
    <t>Lippo Plaza Kairagi Manado</t>
  </si>
  <si>
    <t>Maleo Town Square Mamuju</t>
  </si>
  <si>
    <t>Mandau CityMall</t>
  </si>
  <si>
    <t>Sun Plaza Medan</t>
  </si>
  <si>
    <t>Suzuya Merdeka Square Siantar</t>
  </si>
  <si>
    <t>The Park Kendari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</si>
</sst>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sz val="10"/>
      <color theme="1"/>
      <name val="Calibri"/>
      <charset val="134"/>
      <scheme val="minor"/>
    </font>
    <font>
      <sz val="9"/>
      <color rgb="FF1F1F1F"/>
      <name val="Calibri"/>
      <charset val="134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 vertical="center"/>
    </xf>
    <xf numFmtId="41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ge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AEON Mall BSD</v>
          </cell>
          <cell r="B2" t="str">
            <v>Digimap</v>
          </cell>
          <cell r="C2" t="str">
            <v>Digimap</v>
          </cell>
          <cell r="D2" t="str">
            <v>Arman</v>
          </cell>
          <cell r="E2" t="str">
            <v>Junaidi Ismail</v>
          </cell>
          <cell r="F2" t="str">
            <v>Rizqi Rudiansah</v>
          </cell>
        </row>
        <row r="3">
          <cell r="A3" t="str">
            <v>AEON Mall Deltamas</v>
          </cell>
          <cell r="B3" t="str">
            <v>Digimap</v>
          </cell>
          <cell r="C3" t="str">
            <v>Digimap</v>
          </cell>
          <cell r="D3" t="str">
            <v>Arman</v>
          </cell>
          <cell r="E3" t="str">
            <v>Junaidi Ismail</v>
          </cell>
          <cell r="F3" t="str">
            <v>Rizqi Rudiansah</v>
          </cell>
        </row>
        <row r="4">
          <cell r="A4" t="str">
            <v>AEON Mall Sentul</v>
          </cell>
          <cell r="B4" t="str">
            <v>Digimap</v>
          </cell>
          <cell r="C4" t="str">
            <v>Digimap</v>
          </cell>
          <cell r="D4" t="str">
            <v>Arman</v>
          </cell>
          <cell r="E4" t="str">
            <v>Junaidi Ismail</v>
          </cell>
          <cell r="F4" t="str">
            <v>Rizqi Rudiansah</v>
          </cell>
        </row>
        <row r="5">
          <cell r="A5" t="str">
            <v>AEON Mall Tanjung Barat</v>
          </cell>
          <cell r="B5" t="str">
            <v>Digimap</v>
          </cell>
          <cell r="C5" t="str">
            <v>Digimap</v>
          </cell>
          <cell r="D5" t="str">
            <v>Isna</v>
          </cell>
          <cell r="E5" t="str">
            <v>Hendra Al Aziz</v>
          </cell>
          <cell r="F5" t="str">
            <v>Ahmad Yoga</v>
          </cell>
        </row>
        <row r="6">
          <cell r="A6" t="str">
            <v>Ambon City Center</v>
          </cell>
          <cell r="B6" t="str">
            <v>Digimap</v>
          </cell>
          <cell r="C6" t="str">
            <v>Digimap</v>
          </cell>
          <cell r="D6" t="str">
            <v>Arif</v>
          </cell>
          <cell r="E6" t="str">
            <v>Junaidi Ismail</v>
          </cell>
          <cell r="F6" t="str">
            <v>Rahmat Depiyar</v>
          </cell>
        </row>
        <row r="7">
          <cell r="A7" t="str">
            <v>Antasari Place</v>
          </cell>
          <cell r="B7" t="str">
            <v>Digimap</v>
          </cell>
          <cell r="C7" t="str">
            <v>Digimap</v>
          </cell>
          <cell r="D7" t="str">
            <v>Isna</v>
          </cell>
          <cell r="E7" t="str">
            <v>Hendra Al Aziz</v>
          </cell>
          <cell r="F7" t="str">
            <v>Ahmad Yoga</v>
          </cell>
        </row>
        <row r="8">
          <cell r="A8" t="str">
            <v>ASS Mall Brebes</v>
          </cell>
          <cell r="B8" t="str">
            <v>Digimap</v>
          </cell>
          <cell r="C8" t="str">
            <v>Digimap</v>
          </cell>
          <cell r="D8" t="str">
            <v>Yudistira</v>
          </cell>
          <cell r="E8" t="str">
            <v>Denisahri N. P</v>
          </cell>
          <cell r="F8" t="str">
            <v>Eko Budi Setiawan</v>
          </cell>
        </row>
        <row r="9">
          <cell r="A9" t="str">
            <v>Ayani Pontianak</v>
          </cell>
          <cell r="B9" t="str">
            <v>Digimap</v>
          </cell>
          <cell r="C9" t="str">
            <v>Digimap</v>
          </cell>
          <cell r="D9" t="str">
            <v>Ryan</v>
          </cell>
          <cell r="E9" t="str">
            <v>Denisahri N. P</v>
          </cell>
          <cell r="F9" t="str">
            <v>Hari Suseno</v>
          </cell>
        </row>
        <row r="10">
          <cell r="A10" t="str">
            <v>Basko Citymall</v>
          </cell>
          <cell r="B10" t="str">
            <v>Digimap</v>
          </cell>
          <cell r="C10" t="str">
            <v>Digimap</v>
          </cell>
          <cell r="D10" t="str">
            <v>Zein</v>
          </cell>
          <cell r="E10" t="str">
            <v>Hendra Al Aziz</v>
          </cell>
          <cell r="F10" t="str">
            <v>Sopian</v>
          </cell>
        </row>
        <row r="11">
          <cell r="A11" t="str">
            <v>Basko Grand Mall</v>
          </cell>
          <cell r="B11" t="str">
            <v>Digimap</v>
          </cell>
          <cell r="C11" t="str">
            <v>Digimap</v>
          </cell>
          <cell r="D11" t="str">
            <v>Zein</v>
          </cell>
          <cell r="E11" t="str">
            <v>Hendra Al Aziz</v>
          </cell>
          <cell r="F11" t="str">
            <v>Sopian</v>
          </cell>
        </row>
        <row r="12">
          <cell r="A12" t="str">
            <v>Beachwalk Bali</v>
          </cell>
          <cell r="B12" t="str">
            <v>Digimap</v>
          </cell>
          <cell r="C12" t="str">
            <v>Digimap</v>
          </cell>
          <cell r="D12" t="str">
            <v>Tono</v>
          </cell>
          <cell r="E12" t="str">
            <v>Junaidi Ismail</v>
          </cell>
          <cell r="F12" t="str">
            <v>Yuni Anggraini</v>
          </cell>
        </row>
        <row r="13">
          <cell r="A13" t="str">
            <v>Binjai Supermall</v>
          </cell>
          <cell r="B13" t="str">
            <v>Digimap</v>
          </cell>
          <cell r="C13" t="str">
            <v>Digimap</v>
          </cell>
          <cell r="D13" t="str">
            <v>Zein</v>
          </cell>
          <cell r="E13" t="str">
            <v>Hendra Al Aziz</v>
          </cell>
          <cell r="F13" t="str">
            <v>Sopian</v>
          </cell>
        </row>
        <row r="14">
          <cell r="A14" t="str">
            <v>Blitar Square</v>
          </cell>
          <cell r="B14" t="str">
            <v>Digimap</v>
          </cell>
          <cell r="C14" t="str">
            <v>Digimap</v>
          </cell>
          <cell r="D14" t="str">
            <v>Sigit</v>
          </cell>
          <cell r="E14" t="str">
            <v>Denisahri N. P</v>
          </cell>
          <cell r="F14" t="str">
            <v>Hari Suseno</v>
          </cell>
        </row>
        <row r="15">
          <cell r="A15" t="str">
            <v>Blok M Plaza</v>
          </cell>
          <cell r="B15" t="str">
            <v>Digimap</v>
          </cell>
          <cell r="C15" t="str">
            <v>Digimap</v>
          </cell>
          <cell r="D15" t="str">
            <v>Isna</v>
          </cell>
          <cell r="E15" t="str">
            <v>Hendra Al Aziz</v>
          </cell>
          <cell r="F15" t="str">
            <v>Ahmad Yoga</v>
          </cell>
        </row>
        <row r="16">
          <cell r="A16" t="str">
            <v>Center Point Medan</v>
          </cell>
          <cell r="B16" t="str">
            <v>Digimap</v>
          </cell>
          <cell r="C16" t="str">
            <v>Digimap</v>
          </cell>
          <cell r="D16" t="str">
            <v>Zein</v>
          </cell>
          <cell r="E16" t="str">
            <v>Hendra Al Aziz</v>
          </cell>
          <cell r="F16" t="str">
            <v>Sopian</v>
          </cell>
        </row>
        <row r="17">
          <cell r="A17" t="str">
            <v>Ciputra World Surabaya</v>
          </cell>
          <cell r="B17" t="str">
            <v>Digimap</v>
          </cell>
          <cell r="C17" t="str">
            <v>Digimap</v>
          </cell>
          <cell r="D17" t="str">
            <v>Yusuf</v>
          </cell>
          <cell r="E17" t="str">
            <v>Denisahri N. P</v>
          </cell>
          <cell r="F17" t="str">
            <v>Septania Fathorosi</v>
          </cell>
        </row>
        <row r="18">
          <cell r="A18" t="str">
            <v>Citimall Baturaja</v>
          </cell>
          <cell r="B18" t="str">
            <v>Digimap</v>
          </cell>
          <cell r="C18" t="str">
            <v>Digimap</v>
          </cell>
          <cell r="D18" t="str">
            <v>Ryan</v>
          </cell>
          <cell r="E18" t="str">
            <v>Hendra Al Aziz</v>
          </cell>
          <cell r="F18" t="str">
            <v>Eis Vindi</v>
          </cell>
        </row>
        <row r="19">
          <cell r="A19" t="str">
            <v>Citimall Cianjur</v>
          </cell>
          <cell r="B19" t="str">
            <v>Digimap</v>
          </cell>
          <cell r="C19" t="str">
            <v>Digimap</v>
          </cell>
          <cell r="D19" t="str">
            <v>Arif</v>
          </cell>
          <cell r="E19" t="str">
            <v>Junaidi Ismail</v>
          </cell>
          <cell r="F19" t="str">
            <v>Rahmat Depiyar</v>
          </cell>
        </row>
        <row r="20">
          <cell r="A20" t="str">
            <v>Citimall Dumai</v>
          </cell>
          <cell r="B20" t="str">
            <v>Digimap</v>
          </cell>
          <cell r="C20" t="str">
            <v>Digimap</v>
          </cell>
          <cell r="D20" t="str">
            <v>Zein</v>
          </cell>
          <cell r="E20" t="str">
            <v>Hendra Al Aziz</v>
          </cell>
          <cell r="F20" t="str">
            <v>Sopian</v>
          </cell>
        </row>
        <row r="21">
          <cell r="A21" t="str">
            <v>Citimall Lahat</v>
          </cell>
          <cell r="B21" t="str">
            <v>Digimap</v>
          </cell>
          <cell r="C21" t="str">
            <v>Digimap</v>
          </cell>
          <cell r="D21" t="str">
            <v>Ryan</v>
          </cell>
          <cell r="E21" t="str">
            <v>Hendra Al Aziz</v>
          </cell>
          <cell r="F21" t="str">
            <v>Eis Vindi</v>
          </cell>
        </row>
        <row r="22">
          <cell r="A22" t="str">
            <v>Citimall Pangkalan Bun</v>
          </cell>
          <cell r="B22" t="str">
            <v>Digimap</v>
          </cell>
          <cell r="C22" t="str">
            <v>Digimap</v>
          </cell>
          <cell r="D22" t="str">
            <v>Ryan</v>
          </cell>
          <cell r="E22" t="str">
            <v>Denisahri N. P</v>
          </cell>
          <cell r="F22" t="str">
            <v>Hari Suseno</v>
          </cell>
        </row>
        <row r="23">
          <cell r="A23" t="str">
            <v>Citimall Prabumulih</v>
          </cell>
          <cell r="B23" t="str">
            <v>Digimap</v>
          </cell>
          <cell r="C23" t="str">
            <v>Digimap</v>
          </cell>
          <cell r="D23" t="str">
            <v>Ryan</v>
          </cell>
          <cell r="E23" t="str">
            <v>Hendra Al Aziz</v>
          </cell>
          <cell r="F23" t="str">
            <v>Eis Vindi</v>
          </cell>
        </row>
        <row r="24">
          <cell r="A24" t="str">
            <v>Citimall Sampit</v>
          </cell>
          <cell r="B24" t="str">
            <v>Digimap</v>
          </cell>
          <cell r="C24" t="str">
            <v>Digimap</v>
          </cell>
          <cell r="D24" t="str">
            <v>Ryan</v>
          </cell>
          <cell r="E24" t="str">
            <v>Denisahri N. P</v>
          </cell>
          <cell r="F24" t="str">
            <v>Hari Suseno</v>
          </cell>
        </row>
        <row r="25">
          <cell r="A25" t="str">
            <v>Citimall Tuban</v>
          </cell>
          <cell r="B25" t="str">
            <v>Digimap</v>
          </cell>
          <cell r="C25" t="str">
            <v>Digimap</v>
          </cell>
          <cell r="D25" t="str">
            <v>Yusuf</v>
          </cell>
          <cell r="E25" t="str">
            <v>Denisahri N. P</v>
          </cell>
          <cell r="F25" t="str">
            <v>Septania Fathorosi</v>
          </cell>
        </row>
        <row r="26">
          <cell r="A26" t="str">
            <v>Citra Grand Cibubur</v>
          </cell>
          <cell r="B26" t="str">
            <v>Digimap</v>
          </cell>
          <cell r="C26" t="str">
            <v>Digimap</v>
          </cell>
          <cell r="D26" t="str">
            <v>Arman</v>
          </cell>
          <cell r="E26" t="str">
            <v>Junaidi Ismail</v>
          </cell>
          <cell r="F26" t="str">
            <v>Rizqi Rudiansah</v>
          </cell>
        </row>
        <row r="27">
          <cell r="A27" t="str">
            <v>City Plaza Jatinegara</v>
          </cell>
          <cell r="B27" t="str">
            <v>Digimap</v>
          </cell>
          <cell r="C27" t="str">
            <v>Digimap</v>
          </cell>
          <cell r="D27" t="str">
            <v>Ilham</v>
          </cell>
          <cell r="E27" t="str">
            <v>Junaidi Ismail</v>
          </cell>
          <cell r="F27" t="str">
            <v>Dimas Priwidyanto</v>
          </cell>
        </row>
        <row r="28">
          <cell r="A28" t="str">
            <v>Diana Mall Timika</v>
          </cell>
          <cell r="B28" t="str">
            <v>Digimap</v>
          </cell>
          <cell r="C28" t="str">
            <v>Digimap</v>
          </cell>
          <cell r="D28" t="str">
            <v>Arif</v>
          </cell>
          <cell r="E28" t="str">
            <v>Junaidi Ismail</v>
          </cell>
          <cell r="F28" t="str">
            <v>Rahmat Depiyar</v>
          </cell>
        </row>
        <row r="29">
          <cell r="A29" t="str">
            <v>Digimania Pondok indah 1</v>
          </cell>
          <cell r="B29" t="str">
            <v>Digimap</v>
          </cell>
          <cell r="C29" t="str">
            <v>Digimap</v>
          </cell>
          <cell r="D29" t="str">
            <v>Isna</v>
          </cell>
          <cell r="E29" t="str">
            <v>Hendra Al Aziz</v>
          </cell>
          <cell r="F29" t="str">
            <v>Ahmad Yoga</v>
          </cell>
        </row>
        <row r="30">
          <cell r="A30" t="str">
            <v>Digimap Exhibition Jakarta Fair</v>
          </cell>
          <cell r="B30" t="str">
            <v>Digimap</v>
          </cell>
          <cell r="C30" t="str">
            <v>Digimap</v>
          </cell>
          <cell r="D30" t="str">
            <v>Exhibition (Ilham)</v>
          </cell>
          <cell r="E30" t="str">
            <v>Denisahri N. P</v>
          </cell>
          <cell r="F30" t="str">
            <v>Kartini</v>
          </cell>
        </row>
        <row r="31">
          <cell r="A31" t="str">
            <v>Digiplus AEON Mall Deltamas</v>
          </cell>
          <cell r="B31" t="str">
            <v>Digiplus</v>
          </cell>
          <cell r="C31" t="str">
            <v>Digiplus</v>
          </cell>
          <cell r="D31" t="str">
            <v>Kholik</v>
          </cell>
          <cell r="E31" t="str">
            <v>Junaidi Ismail</v>
          </cell>
          <cell r="F31" t="str">
            <v>Rahmat Depiyar</v>
          </cell>
        </row>
        <row r="32">
          <cell r="A32" t="str">
            <v>Digiplus Aeon Mall JGC</v>
          </cell>
          <cell r="B32" t="str">
            <v>Digiplus</v>
          </cell>
          <cell r="C32" t="str">
            <v>Digiplus</v>
          </cell>
          <cell r="D32" t="str">
            <v>Aditya</v>
          </cell>
          <cell r="E32" t="str">
            <v>Denisahri N. P</v>
          </cell>
          <cell r="F32" t="str">
            <v>Kartini</v>
          </cell>
        </row>
        <row r="33">
          <cell r="A33" t="str">
            <v>DIgiplus Arion Mall</v>
          </cell>
          <cell r="B33" t="str">
            <v>Digiplus</v>
          </cell>
          <cell r="C33" t="str">
            <v>Digiplus</v>
          </cell>
          <cell r="D33" t="str">
            <v>Andri</v>
          </cell>
          <cell r="E33" t="str">
            <v>Denisahri N. P</v>
          </cell>
          <cell r="F33" t="str">
            <v>Abdul Rahman</v>
          </cell>
        </row>
        <row r="34">
          <cell r="A34" t="str">
            <v>Digiplus Arkana 23 - POJ</v>
          </cell>
          <cell r="B34" t="str">
            <v>Digiplus</v>
          </cell>
          <cell r="C34" t="str">
            <v>Digiplus</v>
          </cell>
          <cell r="D34" t="str">
            <v>Amiril</v>
          </cell>
          <cell r="E34" t="str">
            <v>Denisahri N. P</v>
          </cell>
          <cell r="F34" t="str">
            <v>Eko Budi Setiawan</v>
          </cell>
        </row>
        <row r="35">
          <cell r="A35" t="str">
            <v>Digiplus Armada Town Square</v>
          </cell>
          <cell r="B35" t="str">
            <v>Digiplus</v>
          </cell>
          <cell r="C35" t="str">
            <v>Digiplus</v>
          </cell>
          <cell r="D35" t="str">
            <v>Amiril</v>
          </cell>
          <cell r="E35" t="str">
            <v>Denisahri N. P</v>
          </cell>
          <cell r="F35" t="str">
            <v>Eko Budi Setiawan</v>
          </cell>
        </row>
        <row r="36">
          <cell r="A36" t="str">
            <v>Digiplus Bandung Electronic City</v>
          </cell>
          <cell r="B36" t="str">
            <v>Digiplus</v>
          </cell>
          <cell r="C36" t="str">
            <v>Digiplus</v>
          </cell>
          <cell r="D36" t="str">
            <v>Kholik</v>
          </cell>
          <cell r="E36" t="str">
            <v>Junaidi Ismail</v>
          </cell>
          <cell r="F36" t="str">
            <v>Rahmat Depiyar</v>
          </cell>
        </row>
        <row r="37">
          <cell r="A37" t="str">
            <v>Digiplus Bandung Indah Plaza</v>
          </cell>
          <cell r="B37" t="str">
            <v>Digiplus</v>
          </cell>
          <cell r="C37" t="str">
            <v>Digiplus</v>
          </cell>
          <cell r="D37" t="str">
            <v>Kholik</v>
          </cell>
          <cell r="E37" t="str">
            <v>Junaidi Ismail</v>
          </cell>
          <cell r="F37" t="str">
            <v>Rahmat Depiyar</v>
          </cell>
        </row>
        <row r="38">
          <cell r="A38" t="str">
            <v>Digiplus Bencoolen Mall</v>
          </cell>
          <cell r="B38" t="str">
            <v>Digiplus</v>
          </cell>
          <cell r="C38" t="str">
            <v>Digiplus</v>
          </cell>
          <cell r="D38" t="str">
            <v>Rizky</v>
          </cell>
          <cell r="E38" t="str">
            <v>Hendra Al Aziz</v>
          </cell>
          <cell r="F38" t="str">
            <v>Eis Vindi</v>
          </cell>
        </row>
        <row r="39">
          <cell r="A39" t="str">
            <v>Digiplus Big Mall Samarinda</v>
          </cell>
          <cell r="B39" t="str">
            <v>Digiplus</v>
          </cell>
          <cell r="C39" t="str">
            <v>Digiplus</v>
          </cell>
          <cell r="D39" t="str">
            <v>Eman</v>
          </cell>
          <cell r="E39" t="str">
            <v>Denisahri N. P</v>
          </cell>
          <cell r="F39" t="str">
            <v>Hari Suseno</v>
          </cell>
        </row>
        <row r="40">
          <cell r="A40" t="str">
            <v>Digiplus Bintaro Exchange</v>
          </cell>
          <cell r="B40" t="str">
            <v>Digiplus</v>
          </cell>
          <cell r="C40" t="str">
            <v>Digiplus</v>
          </cell>
          <cell r="D40" t="str">
            <v>Iwan</v>
          </cell>
          <cell r="E40" t="str">
            <v>Denisahri N. P</v>
          </cell>
          <cell r="F40" t="str">
            <v>Kartini</v>
          </cell>
        </row>
        <row r="41">
          <cell r="A41" t="str">
            <v>Digiplus Bulusaraung</v>
          </cell>
          <cell r="B41" t="str">
            <v>Digiplus</v>
          </cell>
          <cell r="C41" t="str">
            <v>Digiplus</v>
          </cell>
          <cell r="D41" t="str">
            <v>Eman</v>
          </cell>
          <cell r="E41" t="str">
            <v>Hendra Al Aziz</v>
          </cell>
          <cell r="F41" t="str">
            <v>Rizal</v>
          </cell>
        </row>
        <row r="42">
          <cell r="A42" t="str">
            <v>Digiplus Cibinong City Mall</v>
          </cell>
          <cell r="B42" t="str">
            <v>Digiplus</v>
          </cell>
          <cell r="C42" t="str">
            <v>Digiplus</v>
          </cell>
          <cell r="D42" t="str">
            <v>Iwan</v>
          </cell>
          <cell r="E42" t="str">
            <v>Denisahri N. P</v>
          </cell>
          <cell r="F42" t="str">
            <v>Kartini</v>
          </cell>
        </row>
        <row r="43">
          <cell r="A43" t="str">
            <v>Digiplus Ciputra Jakarta</v>
          </cell>
          <cell r="B43" t="str">
            <v>Digiplus</v>
          </cell>
          <cell r="C43" t="str">
            <v>Digiplus</v>
          </cell>
          <cell r="D43" t="str">
            <v>Andri</v>
          </cell>
          <cell r="E43" t="str">
            <v>Denisahri N. P</v>
          </cell>
          <cell r="F43" t="str">
            <v>Abdul Rahman</v>
          </cell>
        </row>
        <row r="44">
          <cell r="A44" t="str">
            <v>Digiplus Cirebon Superblock</v>
          </cell>
          <cell r="B44" t="str">
            <v>Digiplus</v>
          </cell>
          <cell r="C44" t="str">
            <v>Digiplus</v>
          </cell>
          <cell r="D44" t="str">
            <v>Kholik</v>
          </cell>
          <cell r="E44" t="str">
            <v>Junaidi Ismail</v>
          </cell>
          <cell r="F44" t="str">
            <v>Rahmat Depiyar</v>
          </cell>
        </row>
        <row r="45">
          <cell r="A45" t="str">
            <v>Digiplus Citimall Bontang</v>
          </cell>
          <cell r="B45" t="str">
            <v>Digiplus</v>
          </cell>
          <cell r="C45" t="str">
            <v>Digiplus</v>
          </cell>
          <cell r="D45" t="str">
            <v>Eman</v>
          </cell>
          <cell r="E45" t="str">
            <v>Denisahri N. P</v>
          </cell>
          <cell r="F45" t="str">
            <v>Hari Suseno</v>
          </cell>
        </row>
        <row r="46">
          <cell r="A46" t="str">
            <v>Digiplus Citimall Garut</v>
          </cell>
          <cell r="B46" t="str">
            <v>Digiplus</v>
          </cell>
          <cell r="C46" t="str">
            <v>Digiplus</v>
          </cell>
          <cell r="D46" t="str">
            <v>Kholik</v>
          </cell>
          <cell r="E46" t="str">
            <v>Junaidi Ismail</v>
          </cell>
          <cell r="F46" t="str">
            <v>Rahmat Depiyar</v>
          </cell>
        </row>
        <row r="47">
          <cell r="A47" t="str">
            <v>Digiplus Citimall Gorontalo</v>
          </cell>
          <cell r="B47" t="str">
            <v>Digiplus</v>
          </cell>
          <cell r="C47" t="str">
            <v>Digiplus</v>
          </cell>
          <cell r="D47" t="str">
            <v>Eman</v>
          </cell>
          <cell r="E47" t="str">
            <v>Hendra Al Aziz</v>
          </cell>
          <cell r="F47" t="str">
            <v>Rizal</v>
          </cell>
        </row>
        <row r="48">
          <cell r="A48" t="str">
            <v>Digiplus Citimall Kapuas</v>
          </cell>
          <cell r="B48" t="str">
            <v>Digiplus</v>
          </cell>
          <cell r="C48" t="str">
            <v>Digiplus</v>
          </cell>
          <cell r="D48" t="str">
            <v>Yudhis</v>
          </cell>
          <cell r="E48" t="str">
            <v>Denisahri N. P</v>
          </cell>
          <cell r="F48" t="str">
            <v>Hari Suseno</v>
          </cell>
        </row>
        <row r="49">
          <cell r="A49" t="str">
            <v>Digiplus Citimall Ketapang</v>
          </cell>
          <cell r="B49" t="str">
            <v>Digiplus</v>
          </cell>
          <cell r="C49" t="str">
            <v>Digiplus</v>
          </cell>
          <cell r="D49" t="str">
            <v>Yudhis</v>
          </cell>
          <cell r="E49" t="str">
            <v>Denisahri N. P</v>
          </cell>
          <cell r="F49" t="str">
            <v>Hari Suseno</v>
          </cell>
        </row>
        <row r="50">
          <cell r="A50" t="str">
            <v>Digiplus Delipark Medan</v>
          </cell>
          <cell r="B50" t="str">
            <v>Digiplus</v>
          </cell>
          <cell r="C50" t="str">
            <v>Digiplus</v>
          </cell>
          <cell r="D50" t="str">
            <v>Rizky</v>
          </cell>
          <cell r="E50" t="str">
            <v>Hendra Al Aziz</v>
          </cell>
          <cell r="F50" t="str">
            <v>Sopian</v>
          </cell>
        </row>
        <row r="51">
          <cell r="A51" t="str">
            <v>Digiplus DP Mall Semarang</v>
          </cell>
          <cell r="B51" t="str">
            <v>Digiplus</v>
          </cell>
          <cell r="C51" t="str">
            <v>Digiplus</v>
          </cell>
          <cell r="D51" t="str">
            <v>Amiril</v>
          </cell>
          <cell r="E51" t="str">
            <v>Denisahri N. P</v>
          </cell>
          <cell r="F51" t="str">
            <v>Eko Budi Setiawan</v>
          </cell>
        </row>
        <row r="52">
          <cell r="A52" t="str">
            <v>Digiplus Duta Mall Banjarmasin</v>
          </cell>
          <cell r="B52" t="str">
            <v>Digiplus</v>
          </cell>
          <cell r="C52" t="str">
            <v>Digiplus</v>
          </cell>
          <cell r="D52" t="str">
            <v>Eman</v>
          </cell>
          <cell r="E52" t="str">
            <v>Denisahri N. P</v>
          </cell>
          <cell r="F52" t="str">
            <v>Hari Suseno</v>
          </cell>
        </row>
        <row r="53">
          <cell r="A53" t="str">
            <v>Digiplus Duta Mall Palangkaraya</v>
          </cell>
          <cell r="B53" t="str">
            <v>Digiplus</v>
          </cell>
          <cell r="C53" t="str">
            <v>Digiplus</v>
          </cell>
          <cell r="D53" t="str">
            <v>Yudhis</v>
          </cell>
          <cell r="E53" t="str">
            <v>Denisahri N. P</v>
          </cell>
          <cell r="F53" t="str">
            <v>Hari Suseno</v>
          </cell>
        </row>
        <row r="54">
          <cell r="A54" t="str">
            <v>Digiplus E Walk Balikpapan Superblock</v>
          </cell>
          <cell r="B54" t="str">
            <v>Digiplus</v>
          </cell>
          <cell r="C54" t="str">
            <v>Digiplus</v>
          </cell>
          <cell r="D54" t="str">
            <v>Eman</v>
          </cell>
          <cell r="E54" t="str">
            <v>Denisahri N. P</v>
          </cell>
          <cell r="F54" t="str">
            <v>Hari Suseno</v>
          </cell>
        </row>
        <row r="55">
          <cell r="A55" t="str">
            <v>Digiplus Festival Citylink</v>
          </cell>
          <cell r="B55" t="str">
            <v>Digiplus</v>
          </cell>
          <cell r="C55" t="str">
            <v>Digiplus</v>
          </cell>
          <cell r="D55" t="str">
            <v>Kholik</v>
          </cell>
          <cell r="E55" t="str">
            <v>Junaidi Ismail</v>
          </cell>
          <cell r="F55" t="str">
            <v>Rahmat Depiyar</v>
          </cell>
        </row>
        <row r="56">
          <cell r="A56" t="str">
            <v>Digiplus FX Sudirman</v>
          </cell>
          <cell r="B56" t="str">
            <v>Digiplus</v>
          </cell>
          <cell r="C56" t="str">
            <v>Digiplus</v>
          </cell>
          <cell r="D56" t="str">
            <v>Iwan</v>
          </cell>
          <cell r="E56" t="str">
            <v>Denisahri N. P</v>
          </cell>
          <cell r="F56" t="str">
            <v>Kartini</v>
          </cell>
        </row>
        <row r="57">
          <cell r="A57" t="str">
            <v>Digiplus Gadjah Mada Plaza</v>
          </cell>
          <cell r="B57" t="str">
            <v>Digiplus</v>
          </cell>
          <cell r="C57" t="str">
            <v>Digiplus</v>
          </cell>
          <cell r="D57" t="str">
            <v>Aditya</v>
          </cell>
          <cell r="E57" t="str">
            <v>Denisahri N. P</v>
          </cell>
          <cell r="F57" t="str">
            <v>Kartini</v>
          </cell>
        </row>
        <row r="58">
          <cell r="A58" t="str">
            <v>Digiplus Gaia Bumi Raya Pontianak</v>
          </cell>
          <cell r="B58" t="str">
            <v>Digiplus</v>
          </cell>
          <cell r="C58" t="str">
            <v>Digiplus</v>
          </cell>
          <cell r="D58" t="str">
            <v>Yudhis</v>
          </cell>
          <cell r="E58" t="str">
            <v>Denisahri N. P</v>
          </cell>
          <cell r="F58" t="str">
            <v>Hari Suseno</v>
          </cell>
        </row>
        <row r="59">
          <cell r="A59" t="str">
            <v>Digiplus Galaxy Mall Surabaya</v>
          </cell>
          <cell r="B59" t="str">
            <v>Digiplus</v>
          </cell>
          <cell r="C59" t="str">
            <v>Digiplus</v>
          </cell>
          <cell r="D59" t="str">
            <v>Yudhis</v>
          </cell>
          <cell r="E59" t="str">
            <v>Denisahri N. P</v>
          </cell>
          <cell r="F59" t="str">
            <v>Septania Fathorosi</v>
          </cell>
        </row>
        <row r="60">
          <cell r="A60" t="str">
            <v>Digiplus Gandaria City</v>
          </cell>
          <cell r="B60" t="str">
            <v>Digiplus</v>
          </cell>
          <cell r="C60" t="str">
            <v>Digiplus</v>
          </cell>
          <cell r="D60" t="str">
            <v>Iwan</v>
          </cell>
          <cell r="E60" t="str">
            <v>Denisahri N. P</v>
          </cell>
          <cell r="F60" t="str">
            <v>Kartini</v>
          </cell>
        </row>
        <row r="61">
          <cell r="A61" t="str">
            <v>Digiplus Grage Mall Cirebon</v>
          </cell>
          <cell r="B61" t="str">
            <v>Digiplus</v>
          </cell>
          <cell r="C61" t="str">
            <v>Digiplus</v>
          </cell>
          <cell r="D61" t="str">
            <v>Kholik</v>
          </cell>
          <cell r="E61" t="str">
            <v>Junaidi Ismail</v>
          </cell>
          <cell r="F61" t="str">
            <v>Rahmat Depiyar</v>
          </cell>
        </row>
        <row r="62">
          <cell r="A62" t="str">
            <v>Digiplus Grand Indonesia</v>
          </cell>
          <cell r="B62" t="str">
            <v>Digiplus</v>
          </cell>
          <cell r="C62" t="str">
            <v>Digiplus</v>
          </cell>
          <cell r="D62" t="str">
            <v>Andri</v>
          </cell>
          <cell r="E62" t="str">
            <v>Denisahri N. P</v>
          </cell>
          <cell r="F62" t="str">
            <v>Abdul Rahman</v>
          </cell>
        </row>
        <row r="63">
          <cell r="A63" t="str">
            <v>Digiplus Grand Metropolitan Mall Bekasi</v>
          </cell>
          <cell r="B63" t="str">
            <v>Digiplus</v>
          </cell>
          <cell r="C63" t="str">
            <v>Digiplus</v>
          </cell>
          <cell r="D63" t="str">
            <v>Aditya</v>
          </cell>
          <cell r="E63" t="str">
            <v>Denisahri N. P</v>
          </cell>
          <cell r="F63" t="str">
            <v>Kartini</v>
          </cell>
        </row>
        <row r="64">
          <cell r="A64" t="str">
            <v>Digiplus Jambi Town Square</v>
          </cell>
          <cell r="B64" t="str">
            <v>Digiplus</v>
          </cell>
          <cell r="C64" t="str">
            <v>Digiplus</v>
          </cell>
          <cell r="D64" t="str">
            <v>Rizky</v>
          </cell>
          <cell r="E64" t="str">
            <v>Hendra Al Aziz</v>
          </cell>
          <cell r="F64" t="str">
            <v>Eis Vindi</v>
          </cell>
        </row>
        <row r="65">
          <cell r="A65" t="str">
            <v>Digiplus Jogja City Mall</v>
          </cell>
          <cell r="B65" t="str">
            <v>Digiplus</v>
          </cell>
          <cell r="C65" t="str">
            <v>Digiplus</v>
          </cell>
          <cell r="D65" t="str">
            <v>Amiril</v>
          </cell>
          <cell r="E65" t="str">
            <v>Denisahri N. P</v>
          </cell>
          <cell r="F65" t="str">
            <v>Eko Budi Setiawan</v>
          </cell>
        </row>
        <row r="66">
          <cell r="A66" t="str">
            <v>Digiplus K Square Mall</v>
          </cell>
          <cell r="B66" t="str">
            <v>Digiplus</v>
          </cell>
          <cell r="C66" t="str">
            <v>Digiplus</v>
          </cell>
          <cell r="D66" t="str">
            <v>Rizky</v>
          </cell>
          <cell r="E66" t="str">
            <v>Hendra Al Aziz</v>
          </cell>
          <cell r="F66" t="str">
            <v>Eis Vindi</v>
          </cell>
        </row>
        <row r="67">
          <cell r="A67" t="str">
            <v>Digiplus Karawang Central Plaza</v>
          </cell>
          <cell r="B67" t="str">
            <v>Digiplus</v>
          </cell>
          <cell r="C67" t="str">
            <v>Digiplus</v>
          </cell>
          <cell r="D67" t="str">
            <v>Kholik</v>
          </cell>
          <cell r="E67" t="str">
            <v>Junaidi Ismail</v>
          </cell>
          <cell r="F67" t="str">
            <v>Rahmat Depiyar</v>
          </cell>
        </row>
        <row r="68">
          <cell r="A68" t="str">
            <v>Digiplus Klaten Town Square</v>
          </cell>
          <cell r="B68" t="str">
            <v>Digiplus</v>
          </cell>
          <cell r="C68" t="str">
            <v>Digiplus</v>
          </cell>
          <cell r="D68" t="str">
            <v>Amiril</v>
          </cell>
          <cell r="E68" t="str">
            <v>Denisahri N. P</v>
          </cell>
          <cell r="F68" t="str">
            <v>Eko Budi Setiawan</v>
          </cell>
        </row>
        <row r="69">
          <cell r="A69" t="str">
            <v>Digiplus Kota Kasablanka</v>
          </cell>
          <cell r="B69" t="str">
            <v>Digiplus</v>
          </cell>
          <cell r="C69" t="str">
            <v>Digiplus</v>
          </cell>
          <cell r="D69" t="str">
            <v>Andri</v>
          </cell>
          <cell r="E69" t="str">
            <v>Denisahri N. P</v>
          </cell>
          <cell r="F69" t="str">
            <v>Abdul Rahman</v>
          </cell>
        </row>
        <row r="70">
          <cell r="A70" t="str">
            <v>Digiplus Lippo Ekalokasari</v>
          </cell>
          <cell r="B70" t="str">
            <v>Digiplus</v>
          </cell>
          <cell r="C70" t="str">
            <v>Digiplus</v>
          </cell>
          <cell r="D70" t="str">
            <v>Aditya</v>
          </cell>
          <cell r="E70" t="str">
            <v>Denisahri N. P</v>
          </cell>
          <cell r="F70" t="str">
            <v>Kartini</v>
          </cell>
        </row>
        <row r="71">
          <cell r="A71" t="str">
            <v>Digiplus Lippo Plaza Baubau</v>
          </cell>
          <cell r="B71" t="str">
            <v>Digiplus</v>
          </cell>
          <cell r="C71" t="str">
            <v>Digiplus</v>
          </cell>
          <cell r="D71" t="str">
            <v>Eman</v>
          </cell>
          <cell r="E71" t="str">
            <v>Hendra Al Aziz</v>
          </cell>
          <cell r="F71" t="str">
            <v>Rizal</v>
          </cell>
        </row>
        <row r="72">
          <cell r="A72" t="str">
            <v>Digiplus Lippo Plaza Kendari</v>
          </cell>
          <cell r="B72" t="str">
            <v>Digiplus</v>
          </cell>
          <cell r="C72" t="str">
            <v>Digiplus</v>
          </cell>
          <cell r="D72" t="str">
            <v>Eman</v>
          </cell>
          <cell r="E72" t="str">
            <v>Hendra Al Aziz</v>
          </cell>
          <cell r="F72" t="str">
            <v>Rizal</v>
          </cell>
        </row>
        <row r="73">
          <cell r="A73" t="str">
            <v>Digiplus Lippo Plaza Yogyakarta</v>
          </cell>
          <cell r="B73" t="str">
            <v>Digiplus</v>
          </cell>
          <cell r="C73" t="str">
            <v>Digiplus</v>
          </cell>
          <cell r="D73" t="str">
            <v>Amiril</v>
          </cell>
          <cell r="E73" t="str">
            <v>Denisahri N. P</v>
          </cell>
          <cell r="F73" t="str">
            <v>Eko Budi Setiawan</v>
          </cell>
        </row>
        <row r="74">
          <cell r="A74" t="str">
            <v>Digiplus Living World Alam Sutera</v>
          </cell>
          <cell r="B74" t="str">
            <v>Digiplus</v>
          </cell>
          <cell r="C74" t="str">
            <v>Digiplus</v>
          </cell>
          <cell r="D74" t="str">
            <v>Iwan</v>
          </cell>
          <cell r="E74" t="str">
            <v>Denisahri N. P</v>
          </cell>
          <cell r="F74" t="str">
            <v>Kartini</v>
          </cell>
        </row>
        <row r="75">
          <cell r="A75" t="str">
            <v>Digiplus Living World Denpasar</v>
          </cell>
          <cell r="B75" t="str">
            <v>Digiplus</v>
          </cell>
          <cell r="C75" t="str">
            <v>Digiplus</v>
          </cell>
          <cell r="D75" t="str">
            <v>Tono</v>
          </cell>
          <cell r="E75" t="str">
            <v>Junaidi Ismail</v>
          </cell>
          <cell r="F75" t="str">
            <v>Yuni Anggraini</v>
          </cell>
        </row>
        <row r="76">
          <cell r="A76" t="str">
            <v>Digiplus Living World Grand Wisata</v>
          </cell>
          <cell r="B76" t="str">
            <v>Digiplus</v>
          </cell>
          <cell r="C76" t="str">
            <v>Digiplus</v>
          </cell>
          <cell r="D76" t="str">
            <v>Andri</v>
          </cell>
          <cell r="E76" t="str">
            <v>Denisahri N. P</v>
          </cell>
          <cell r="F76" t="str">
            <v>Abdul Rahman</v>
          </cell>
        </row>
        <row r="77">
          <cell r="A77" t="str">
            <v>Digiplus Lombok Epicentrum</v>
          </cell>
          <cell r="B77" t="str">
            <v>Digiplus</v>
          </cell>
          <cell r="C77" t="str">
            <v>Digiplus</v>
          </cell>
          <cell r="D77" t="str">
            <v>Yudhis</v>
          </cell>
          <cell r="E77" t="str">
            <v>Denisahri N. P</v>
          </cell>
          <cell r="F77" t="str">
            <v>Septania Fathorosi</v>
          </cell>
        </row>
        <row r="78">
          <cell r="A78" t="str">
            <v>Digiplus Lotte Avenue</v>
          </cell>
          <cell r="B78" t="str">
            <v>Digiplus</v>
          </cell>
          <cell r="C78" t="str">
            <v>Digiplus</v>
          </cell>
          <cell r="D78" t="str">
            <v>Iwan</v>
          </cell>
          <cell r="E78" t="str">
            <v>Denisahri N. P</v>
          </cell>
          <cell r="F78" t="str">
            <v>Kartini</v>
          </cell>
        </row>
        <row r="79">
          <cell r="A79" t="str">
            <v>Digiplus Mal Ciputra Semarang</v>
          </cell>
          <cell r="B79" t="str">
            <v>Digiplus</v>
          </cell>
          <cell r="C79" t="str">
            <v>Digiplus</v>
          </cell>
          <cell r="D79" t="str">
            <v>Amiril</v>
          </cell>
          <cell r="E79" t="str">
            <v>Denisahri N. P</v>
          </cell>
          <cell r="F79" t="str">
            <v>Eko Budi Setiawan</v>
          </cell>
        </row>
        <row r="80">
          <cell r="A80" t="str">
            <v>Digiplus Malang</v>
          </cell>
          <cell r="B80" t="str">
            <v>Digiplus</v>
          </cell>
          <cell r="C80" t="str">
            <v>Digiplus</v>
          </cell>
          <cell r="D80" t="str">
            <v>Yudhis</v>
          </cell>
          <cell r="E80" t="str">
            <v>Denisahri N. P</v>
          </cell>
          <cell r="F80" t="str">
            <v>Septania Fathorosi</v>
          </cell>
        </row>
        <row r="81">
          <cell r="A81" t="str">
            <v>Digiplus Mall Artha Gading</v>
          </cell>
          <cell r="B81" t="str">
            <v>Digiplus</v>
          </cell>
          <cell r="C81" t="str">
            <v>Digiplus</v>
          </cell>
          <cell r="D81" t="str">
            <v>Andri</v>
          </cell>
          <cell r="E81" t="str">
            <v>Denisahri N. P</v>
          </cell>
          <cell r="F81" t="str">
            <v>Abdul Rahman</v>
          </cell>
        </row>
        <row r="82">
          <cell r="A82" t="str">
            <v>Digiplus Mall Bali Galeria</v>
          </cell>
          <cell r="B82" t="str">
            <v>Digiplus</v>
          </cell>
          <cell r="C82" t="str">
            <v>Digiplus</v>
          </cell>
          <cell r="D82" t="str">
            <v>Tono</v>
          </cell>
          <cell r="E82" t="str">
            <v>Junaidi Ismail</v>
          </cell>
          <cell r="F82" t="str">
            <v>Yuni Anggraini</v>
          </cell>
        </row>
        <row r="83">
          <cell r="A83" t="str">
            <v>Digiplus Mall Bassura</v>
          </cell>
          <cell r="B83" t="str">
            <v>Digiplus</v>
          </cell>
          <cell r="C83" t="str">
            <v>Digiplus</v>
          </cell>
          <cell r="D83" t="str">
            <v>Andri</v>
          </cell>
          <cell r="E83" t="str">
            <v>Denisahri N. P</v>
          </cell>
          <cell r="F83" t="str">
            <v>Abdul Rahman</v>
          </cell>
        </row>
        <row r="84">
          <cell r="A84" t="str">
            <v>Digiplus Mall Ciputra Tangerang</v>
          </cell>
          <cell r="B84" t="str">
            <v>Digiplus</v>
          </cell>
          <cell r="C84" t="str">
            <v>Digiplus</v>
          </cell>
          <cell r="D84" t="str">
            <v>Iwan</v>
          </cell>
          <cell r="E84" t="str">
            <v>Denisahri N. P</v>
          </cell>
          <cell r="F84" t="str">
            <v>Kartini</v>
          </cell>
        </row>
        <row r="85">
          <cell r="A85" t="str">
            <v>Digiplus Mall Kartini Lampung</v>
          </cell>
          <cell r="B85" t="str">
            <v>Digiplus</v>
          </cell>
          <cell r="C85" t="str">
            <v>Digiplus</v>
          </cell>
          <cell r="D85" t="str">
            <v>Rizky</v>
          </cell>
          <cell r="E85" t="str">
            <v>Hendra Al Aziz</v>
          </cell>
          <cell r="F85" t="str">
            <v>Eis Vindi</v>
          </cell>
        </row>
        <row r="86">
          <cell r="A86" t="str">
            <v>Digiplus Mall Ratu Indah</v>
          </cell>
          <cell r="B86" t="str">
            <v>Digiplus</v>
          </cell>
          <cell r="C86" t="str">
            <v>Digiplus</v>
          </cell>
          <cell r="D86" t="str">
            <v>Eman</v>
          </cell>
          <cell r="E86" t="str">
            <v>Hendra Al Aziz</v>
          </cell>
          <cell r="F86" t="str">
            <v>Rizal</v>
          </cell>
        </row>
        <row r="87">
          <cell r="A87" t="str">
            <v>Digiplus Maluku City Mall</v>
          </cell>
          <cell r="B87" t="str">
            <v>Digiplus</v>
          </cell>
          <cell r="C87" t="str">
            <v>Digiplus</v>
          </cell>
          <cell r="D87" t="str">
            <v>Eman</v>
          </cell>
          <cell r="E87" t="str">
            <v>Denisahri N. P</v>
          </cell>
          <cell r="F87" t="str">
            <v>Hari Suseno</v>
          </cell>
        </row>
        <row r="88">
          <cell r="A88" t="str">
            <v>Digiplus Manhattan Town Square</v>
          </cell>
          <cell r="B88" t="str">
            <v>Digiplus</v>
          </cell>
          <cell r="C88" t="str">
            <v>Digiplus</v>
          </cell>
          <cell r="D88" t="str">
            <v>Rizky</v>
          </cell>
          <cell r="E88" t="str">
            <v>Hendra Al Aziz</v>
          </cell>
          <cell r="F88" t="str">
            <v>Sopian</v>
          </cell>
        </row>
        <row r="89">
          <cell r="A89" t="str">
            <v>Digiplus Margo City</v>
          </cell>
          <cell r="B89" t="str">
            <v>Digiplus</v>
          </cell>
          <cell r="C89" t="str">
            <v>Digiplus</v>
          </cell>
          <cell r="D89" t="str">
            <v>Aditya</v>
          </cell>
          <cell r="E89" t="str">
            <v>Denisahri N. P</v>
          </cell>
          <cell r="F89" t="str">
            <v>Kartini</v>
          </cell>
        </row>
        <row r="90">
          <cell r="A90" t="str">
            <v>Digiplus Marina Surabaya</v>
          </cell>
          <cell r="B90" t="str">
            <v>Digiplus</v>
          </cell>
          <cell r="C90" t="str">
            <v>Digiplus</v>
          </cell>
          <cell r="D90" t="str">
            <v>Yudhis</v>
          </cell>
          <cell r="E90" t="str">
            <v>Denisahri N. P</v>
          </cell>
          <cell r="F90" t="str">
            <v>Septania Fathorosi</v>
          </cell>
        </row>
        <row r="91">
          <cell r="A91" t="str">
            <v>Digiplus Mega Mall Batam Center</v>
          </cell>
          <cell r="B91" t="str">
            <v>Digiplus</v>
          </cell>
          <cell r="C91" t="str">
            <v>Digiplus</v>
          </cell>
          <cell r="D91" t="str">
            <v>Rizky</v>
          </cell>
          <cell r="E91" t="str">
            <v>Hendra Al Aziz</v>
          </cell>
          <cell r="F91" t="str">
            <v>Eis Vindi</v>
          </cell>
        </row>
        <row r="92">
          <cell r="A92" t="str">
            <v>Digiplus Metmall Bekasi</v>
          </cell>
          <cell r="B92" t="str">
            <v>Digiplus</v>
          </cell>
          <cell r="C92" t="str">
            <v>Digiplus</v>
          </cell>
          <cell r="D92" t="str">
            <v>Aditya</v>
          </cell>
          <cell r="E92" t="str">
            <v>Denisahri N. P</v>
          </cell>
          <cell r="F92" t="str">
            <v>Kartini</v>
          </cell>
        </row>
        <row r="93">
          <cell r="A93" t="str">
            <v>Digiplus Metropolitan Cileungsi</v>
          </cell>
          <cell r="B93" t="str">
            <v>Digiplus</v>
          </cell>
          <cell r="C93" t="str">
            <v>Digiplus</v>
          </cell>
          <cell r="D93" t="str">
            <v>Andri</v>
          </cell>
          <cell r="E93" t="str">
            <v>Denisahri N. P</v>
          </cell>
          <cell r="F93" t="str">
            <v>Abdul Rahman</v>
          </cell>
        </row>
        <row r="94">
          <cell r="A94" t="str">
            <v>Digiplus Nipah Mall Makassar</v>
          </cell>
          <cell r="B94" t="str">
            <v>Digiplus</v>
          </cell>
          <cell r="C94" t="str">
            <v>Digiplus</v>
          </cell>
          <cell r="D94" t="str">
            <v>Eman</v>
          </cell>
          <cell r="E94" t="str">
            <v>Hendra Al Aziz</v>
          </cell>
          <cell r="F94" t="str">
            <v>Rizal</v>
          </cell>
        </row>
        <row r="95">
          <cell r="A95" t="str">
            <v>Digiplus One Mall Batam</v>
          </cell>
          <cell r="B95" t="str">
            <v>Digiplus</v>
          </cell>
          <cell r="C95" t="str">
            <v>Digiplus</v>
          </cell>
          <cell r="D95" t="str">
            <v>Rizky</v>
          </cell>
          <cell r="E95" t="str">
            <v>Hendra Al Aziz</v>
          </cell>
          <cell r="F95" t="str">
            <v>Eis Vindi</v>
          </cell>
        </row>
        <row r="96">
          <cell r="A96" t="str">
            <v>Digiplus Pakuwon City Mall 3</v>
          </cell>
          <cell r="B96" t="str">
            <v>Digiplus</v>
          </cell>
          <cell r="C96" t="str">
            <v>Digiplus</v>
          </cell>
          <cell r="D96" t="str">
            <v>Yudhis</v>
          </cell>
          <cell r="E96" t="str">
            <v>Denisahri N. P</v>
          </cell>
          <cell r="F96" t="str">
            <v>Septania Fathorosi</v>
          </cell>
        </row>
        <row r="97">
          <cell r="A97" t="str">
            <v>Digiplus Pakuwon Mall Bekasi</v>
          </cell>
          <cell r="B97" t="str">
            <v>Digiplus</v>
          </cell>
          <cell r="C97" t="str">
            <v>Digiplus</v>
          </cell>
          <cell r="D97" t="str">
            <v>Aditya</v>
          </cell>
          <cell r="E97" t="str">
            <v>Denisahri N. P</v>
          </cell>
          <cell r="F97" t="str">
            <v>Kartini</v>
          </cell>
        </row>
        <row r="98">
          <cell r="A98" t="str">
            <v>Digiplus Pakuwon Mall Yogyakarta</v>
          </cell>
          <cell r="B98" t="str">
            <v>Digiplus</v>
          </cell>
          <cell r="C98" t="str">
            <v>Digiplus</v>
          </cell>
          <cell r="D98" t="str">
            <v>Amiril</v>
          </cell>
          <cell r="E98" t="str">
            <v>Denisahri N. P</v>
          </cell>
          <cell r="F98" t="str">
            <v>Eko Budi Setiawan</v>
          </cell>
        </row>
        <row r="99">
          <cell r="A99" t="str">
            <v>Digiplus Palembang Icon</v>
          </cell>
          <cell r="B99" t="str">
            <v>Digiplus</v>
          </cell>
          <cell r="C99" t="str">
            <v>Digiplus</v>
          </cell>
          <cell r="D99" t="str">
            <v>Rizky</v>
          </cell>
          <cell r="E99" t="str">
            <v>Hendra Al Aziz</v>
          </cell>
          <cell r="F99" t="str">
            <v>Eis Vindi</v>
          </cell>
        </row>
        <row r="100">
          <cell r="A100" t="str">
            <v>Digiplus Palembang Trade Center</v>
          </cell>
          <cell r="B100" t="str">
            <v>Digiplus</v>
          </cell>
          <cell r="C100" t="str">
            <v>Digiplus</v>
          </cell>
          <cell r="D100" t="str">
            <v>Rizky</v>
          </cell>
          <cell r="E100" t="str">
            <v>Hendra Al Aziz</v>
          </cell>
          <cell r="F100" t="str">
            <v>Eis Vindi</v>
          </cell>
        </row>
        <row r="101">
          <cell r="A101" t="str">
            <v>Digiplus Parahyangan</v>
          </cell>
          <cell r="B101" t="str">
            <v>Digiplus</v>
          </cell>
          <cell r="C101" t="str">
            <v>Digiplus</v>
          </cell>
          <cell r="D101" t="str">
            <v>Kholik</v>
          </cell>
          <cell r="E101" t="str">
            <v>Junaidi Ismail</v>
          </cell>
          <cell r="F101" t="str">
            <v>Rahmat Depiyar</v>
          </cell>
        </row>
        <row r="102">
          <cell r="A102" t="str">
            <v>Digiplus Paris Van Java</v>
          </cell>
          <cell r="B102" t="str">
            <v>Digiplus</v>
          </cell>
          <cell r="C102" t="str">
            <v>SIS</v>
          </cell>
          <cell r="D102" t="str">
            <v>Kholik</v>
          </cell>
          <cell r="E102" t="str">
            <v>Junaidi Ismail</v>
          </cell>
          <cell r="F102" t="str">
            <v>Rahmat Depiyar</v>
          </cell>
        </row>
        <row r="103">
          <cell r="A103" t="str">
            <v>Digiplus PIK Avenue</v>
          </cell>
          <cell r="B103" t="str">
            <v>Digiplus</v>
          </cell>
          <cell r="C103" t="str">
            <v>Digiplus</v>
          </cell>
          <cell r="D103" t="str">
            <v>Aditya</v>
          </cell>
          <cell r="E103" t="str">
            <v>Denisahri N. P</v>
          </cell>
          <cell r="F103" t="str">
            <v>Kartini</v>
          </cell>
        </row>
        <row r="104">
          <cell r="A104" t="str">
            <v>Digiplus Plaza Atrium Senen</v>
          </cell>
          <cell r="B104" t="str">
            <v>Digiplus</v>
          </cell>
          <cell r="C104" t="str">
            <v>Digiplus</v>
          </cell>
          <cell r="D104" t="str">
            <v>Aditya</v>
          </cell>
          <cell r="E104" t="str">
            <v>Denisahri N. P</v>
          </cell>
          <cell r="F104" t="str">
            <v>Kartini</v>
          </cell>
        </row>
        <row r="105">
          <cell r="A105" t="str">
            <v>Digiplus Pop Up Sunrise</v>
          </cell>
          <cell r="B105" t="str">
            <v>Digiplus</v>
          </cell>
          <cell r="C105" t="str">
            <v>Digiplus</v>
          </cell>
          <cell r="D105" t="str">
            <v>Yudhis</v>
          </cell>
          <cell r="E105" t="str">
            <v>Denisahri N. P</v>
          </cell>
          <cell r="F105" t="str">
            <v>Septania Fathorosi</v>
          </cell>
        </row>
        <row r="106">
          <cell r="A106" t="str">
            <v>Digiplus Puri Indah Mall</v>
          </cell>
          <cell r="B106" t="str">
            <v>Digiplus</v>
          </cell>
          <cell r="C106" t="str">
            <v>Digiplus</v>
          </cell>
          <cell r="D106" t="str">
            <v>Iwan</v>
          </cell>
          <cell r="E106" t="str">
            <v>Denisahri N. P</v>
          </cell>
          <cell r="F106" t="str">
            <v>Kartini</v>
          </cell>
        </row>
        <row r="107">
          <cell r="A107" t="str">
            <v>Digiplus Purwokerto</v>
          </cell>
          <cell r="B107" t="str">
            <v>Digiplus</v>
          </cell>
          <cell r="C107" t="str">
            <v>Digiplus</v>
          </cell>
          <cell r="D107" t="str">
            <v>Amiril</v>
          </cell>
          <cell r="E107" t="str">
            <v>Denisahri N. P</v>
          </cell>
          <cell r="F107" t="str">
            <v>Eko Budi Setiawan</v>
          </cell>
        </row>
        <row r="108">
          <cell r="A108" t="str">
            <v>Digiplus Qmall Banjarbaru</v>
          </cell>
          <cell r="B108" t="str">
            <v>Digiplus</v>
          </cell>
          <cell r="C108" t="str">
            <v>Digiplus</v>
          </cell>
          <cell r="D108" t="str">
            <v>Eman</v>
          </cell>
          <cell r="E108" t="str">
            <v>Denisahri N. P</v>
          </cell>
          <cell r="F108" t="str">
            <v>Hari Suseno</v>
          </cell>
        </row>
        <row r="109">
          <cell r="A109" t="str">
            <v>Digiplus Queen City Mall Semarang</v>
          </cell>
          <cell r="B109" t="str">
            <v>Digiplus</v>
          </cell>
          <cell r="C109" t="str">
            <v>Digiplus</v>
          </cell>
          <cell r="D109" t="str">
            <v>Amiril</v>
          </cell>
          <cell r="E109" t="str">
            <v>Denisahri N. P</v>
          </cell>
          <cell r="F109" t="str">
            <v>Eko Budi Setiawan</v>
          </cell>
        </row>
        <row r="110">
          <cell r="A110" t="str">
            <v>Digiplus Resinda Park Mall</v>
          </cell>
          <cell r="B110" t="str">
            <v>Digiplus</v>
          </cell>
          <cell r="C110" t="str">
            <v>Digiplus</v>
          </cell>
          <cell r="D110" t="str">
            <v>Kholik</v>
          </cell>
          <cell r="E110" t="str">
            <v>Junaidi Ismail</v>
          </cell>
          <cell r="F110" t="str">
            <v>Rahmat Depiyar</v>
          </cell>
        </row>
        <row r="111">
          <cell r="A111" t="str">
            <v>Digiplus Rita Supermall Tegal</v>
          </cell>
          <cell r="B111" t="str">
            <v>Digiplus</v>
          </cell>
          <cell r="C111" t="str">
            <v>Digiplus</v>
          </cell>
          <cell r="D111" t="str">
            <v>Amiril</v>
          </cell>
          <cell r="E111" t="str">
            <v>Denisahri N. P</v>
          </cell>
          <cell r="F111" t="str">
            <v>Eko Budi Setiawan</v>
          </cell>
        </row>
        <row r="112">
          <cell r="A112" t="str">
            <v>Digiplus Royal Plaza Surabaya</v>
          </cell>
          <cell r="B112" t="str">
            <v>Digiplus</v>
          </cell>
          <cell r="C112" t="str">
            <v>Digiplus</v>
          </cell>
          <cell r="D112" t="str">
            <v>Yudhis</v>
          </cell>
          <cell r="E112" t="str">
            <v>Denisahri N. P</v>
          </cell>
          <cell r="F112" t="str">
            <v>Septania Fathorosi</v>
          </cell>
        </row>
        <row r="113">
          <cell r="A113" t="str">
            <v>Digiplus Samarinda Central Plaza</v>
          </cell>
          <cell r="B113" t="str">
            <v>Digiplus</v>
          </cell>
          <cell r="C113" t="str">
            <v>Digiplus</v>
          </cell>
          <cell r="D113" t="str">
            <v>Eman</v>
          </cell>
          <cell r="E113" t="str">
            <v>Denisahri N. P</v>
          </cell>
          <cell r="F113" t="str">
            <v>Hari Suseno</v>
          </cell>
        </row>
        <row r="114">
          <cell r="A114" t="str">
            <v>Digiplus Sira Village Bali</v>
          </cell>
          <cell r="B114" t="str">
            <v>Digiplus</v>
          </cell>
          <cell r="C114" t="str">
            <v>Digiplus</v>
          </cell>
          <cell r="D114" t="str">
            <v>Tono</v>
          </cell>
          <cell r="E114" t="str">
            <v>Junaidi Ismail</v>
          </cell>
          <cell r="F114" t="str">
            <v>Yuni Anggraini</v>
          </cell>
        </row>
        <row r="115">
          <cell r="A115" t="str">
            <v>Digiplus SKA Mall Pekanbaru</v>
          </cell>
          <cell r="B115" t="str">
            <v>Digiplus</v>
          </cell>
          <cell r="C115" t="str">
            <v>Digiplus</v>
          </cell>
          <cell r="D115" t="str">
            <v>Rizky</v>
          </cell>
          <cell r="E115" t="str">
            <v>Hendra Al Aziz</v>
          </cell>
          <cell r="F115" t="str">
            <v>Sopian</v>
          </cell>
        </row>
        <row r="116">
          <cell r="A116" t="str">
            <v>Digiplus Sleman City Hall</v>
          </cell>
          <cell r="B116" t="str">
            <v>Digiplus</v>
          </cell>
          <cell r="C116" t="str">
            <v>Digiplus</v>
          </cell>
          <cell r="D116" t="str">
            <v>Amiril</v>
          </cell>
          <cell r="E116" t="str">
            <v>Denisahri N. P</v>
          </cell>
          <cell r="F116" t="str">
            <v>Eko Budi Setiawan</v>
          </cell>
        </row>
        <row r="117">
          <cell r="A117" t="str">
            <v>Digiplus Solo Paragon</v>
          </cell>
          <cell r="B117" t="str">
            <v>Digiplus</v>
          </cell>
          <cell r="C117" t="str">
            <v>Digiplus</v>
          </cell>
          <cell r="D117" t="str">
            <v>Amiril</v>
          </cell>
          <cell r="E117" t="str">
            <v>Denisahri N. P</v>
          </cell>
          <cell r="F117" t="str">
            <v>Eko Budi Setiawan</v>
          </cell>
        </row>
        <row r="118">
          <cell r="A118" t="str">
            <v>Digiplus Street Boulevard Makassar</v>
          </cell>
          <cell r="B118" t="str">
            <v>Digiplus</v>
          </cell>
          <cell r="C118" t="str">
            <v>Digiplus</v>
          </cell>
          <cell r="D118" t="str">
            <v>Eman</v>
          </cell>
          <cell r="E118" t="str">
            <v>Hendra Al Aziz</v>
          </cell>
          <cell r="F118" t="str">
            <v>Rizal</v>
          </cell>
        </row>
        <row r="119">
          <cell r="A119" t="str">
            <v>Digiplus Street Ruko Terogong</v>
          </cell>
          <cell r="B119" t="str">
            <v>Digiplus</v>
          </cell>
          <cell r="C119" t="str">
            <v>Digiplus</v>
          </cell>
          <cell r="D119" t="str">
            <v>Iwan</v>
          </cell>
          <cell r="E119" t="str">
            <v>Denisahri N. P</v>
          </cell>
          <cell r="F119" t="str">
            <v>Kartini</v>
          </cell>
        </row>
        <row r="120">
          <cell r="A120" t="str">
            <v>Digiplus Street Teuku Umar Bali</v>
          </cell>
          <cell r="B120" t="str">
            <v>Digiplus</v>
          </cell>
          <cell r="C120" t="str">
            <v>Digiplus</v>
          </cell>
          <cell r="D120" t="str">
            <v>Tono</v>
          </cell>
          <cell r="E120" t="str">
            <v>Junaidi Ismail</v>
          </cell>
          <cell r="F120" t="str">
            <v>Yuni Anggraini</v>
          </cell>
        </row>
        <row r="121">
          <cell r="A121" t="str">
            <v>Digiplus Summarecon Bandung</v>
          </cell>
          <cell r="B121" t="str">
            <v>Digiplus</v>
          </cell>
          <cell r="C121" t="str">
            <v>Digiplus</v>
          </cell>
          <cell r="D121" t="str">
            <v>Kholik</v>
          </cell>
          <cell r="E121" t="str">
            <v>Junaidi Ismail</v>
          </cell>
          <cell r="F121" t="str">
            <v>Rahmat Depiyar</v>
          </cell>
        </row>
        <row r="122">
          <cell r="A122" t="str">
            <v>Digiplus Summarecon Mall Bekasi</v>
          </cell>
          <cell r="B122" t="str">
            <v>Digiplus</v>
          </cell>
          <cell r="C122" t="str">
            <v>Digiplus</v>
          </cell>
          <cell r="D122" t="str">
            <v>Aditya</v>
          </cell>
          <cell r="E122" t="str">
            <v>Denisahri N. P</v>
          </cell>
          <cell r="F122" t="str">
            <v>Kartini</v>
          </cell>
        </row>
        <row r="123">
          <cell r="A123" t="str">
            <v>Digiplus Summarecon Mall Kelapa Gading</v>
          </cell>
          <cell r="B123" t="str">
            <v>Digiplus</v>
          </cell>
          <cell r="C123" t="str">
            <v>Digiplus</v>
          </cell>
          <cell r="D123" t="str">
            <v>Andri</v>
          </cell>
          <cell r="E123" t="str">
            <v>Denisahri N. P</v>
          </cell>
          <cell r="F123" t="str">
            <v>Abdul Rahman</v>
          </cell>
        </row>
        <row r="124">
          <cell r="A124" t="str">
            <v>Digiplus Summarecon Mall Serpong</v>
          </cell>
          <cell r="B124" t="str">
            <v>Digiplus</v>
          </cell>
          <cell r="C124" t="str">
            <v>Digiplus</v>
          </cell>
          <cell r="D124" t="str">
            <v>Iwan</v>
          </cell>
          <cell r="E124" t="str">
            <v>Denisahri N. P</v>
          </cell>
          <cell r="F124" t="str">
            <v>Kartini</v>
          </cell>
        </row>
        <row r="125">
          <cell r="A125" t="str">
            <v>Digiplus Sun Plaza Medan</v>
          </cell>
          <cell r="B125" t="str">
            <v>Digiplus</v>
          </cell>
          <cell r="C125" t="str">
            <v>Digiplus</v>
          </cell>
          <cell r="D125" t="str">
            <v>Rizky</v>
          </cell>
          <cell r="E125" t="str">
            <v>Hendra Al Aziz</v>
          </cell>
          <cell r="F125" t="str">
            <v>Sopian</v>
          </cell>
        </row>
        <row r="126">
          <cell r="A126" t="str">
            <v>Digiplus Sunrise Mojokerto</v>
          </cell>
          <cell r="B126" t="str">
            <v>Digiplus</v>
          </cell>
          <cell r="C126" t="str">
            <v>Digiplus</v>
          </cell>
          <cell r="D126" t="str">
            <v>Yudhis</v>
          </cell>
          <cell r="E126" t="str">
            <v>Denisahri N. P</v>
          </cell>
          <cell r="F126" t="str">
            <v>Septania Fathorosi</v>
          </cell>
        </row>
        <row r="127">
          <cell r="A127" t="str">
            <v>Digiplus The Grand Outlet</v>
          </cell>
          <cell r="B127" t="str">
            <v>Digiplus</v>
          </cell>
          <cell r="C127" t="str">
            <v>Digiplus</v>
          </cell>
          <cell r="D127" t="str">
            <v>Kholik</v>
          </cell>
          <cell r="E127" t="str">
            <v>Junaidi Ismail</v>
          </cell>
          <cell r="F127" t="str">
            <v>Rahmat Depiyar</v>
          </cell>
        </row>
        <row r="128">
          <cell r="A128" t="str">
            <v>Digiplus The Park Pejaten</v>
          </cell>
          <cell r="B128" t="str">
            <v>Digiplus</v>
          </cell>
          <cell r="C128" t="str">
            <v>Digiplus</v>
          </cell>
          <cell r="D128" t="str">
            <v>Aditya</v>
          </cell>
          <cell r="E128" t="str">
            <v>Denisahri N. P</v>
          </cell>
          <cell r="F128" t="str">
            <v>Kartini</v>
          </cell>
        </row>
        <row r="129">
          <cell r="A129" t="str">
            <v>Digiplus The Park Sawangan</v>
          </cell>
          <cell r="B129" t="str">
            <v>Digiplus</v>
          </cell>
          <cell r="C129" t="str">
            <v>Digiplus</v>
          </cell>
          <cell r="D129" t="str">
            <v>Aditya</v>
          </cell>
          <cell r="E129" t="str">
            <v>Denisahri N. P</v>
          </cell>
          <cell r="F129" t="str">
            <v>Kartini</v>
          </cell>
        </row>
        <row r="130">
          <cell r="A130" t="str">
            <v>Digiplus The Park Semarang</v>
          </cell>
          <cell r="B130" t="str">
            <v>Digiplus</v>
          </cell>
          <cell r="C130" t="str">
            <v>Digiplus</v>
          </cell>
          <cell r="D130" t="str">
            <v>Amiril</v>
          </cell>
          <cell r="E130" t="str">
            <v>Denisahri N. P</v>
          </cell>
          <cell r="F130" t="str">
            <v>Eko Budi Setiawan</v>
          </cell>
        </row>
        <row r="131">
          <cell r="A131" t="str">
            <v>Digiplus The Park Solo</v>
          </cell>
          <cell r="B131" t="str">
            <v>Digiplus</v>
          </cell>
          <cell r="C131" t="str">
            <v>Digiplus</v>
          </cell>
          <cell r="D131" t="str">
            <v>Amiril</v>
          </cell>
          <cell r="E131" t="str">
            <v>Denisahri N. P</v>
          </cell>
          <cell r="F131" t="str">
            <v>Eko Budi Setiawan</v>
          </cell>
        </row>
        <row r="132">
          <cell r="A132" t="str">
            <v>Digiplus The Plaza Millenium Medan</v>
          </cell>
          <cell r="B132" t="str">
            <v>Digiplus</v>
          </cell>
          <cell r="C132" t="str">
            <v>Digiplus</v>
          </cell>
          <cell r="D132" t="str">
            <v>Rizky</v>
          </cell>
          <cell r="E132" t="str">
            <v>Hendra Al Aziz</v>
          </cell>
          <cell r="F132" t="str">
            <v>Sopian</v>
          </cell>
        </row>
        <row r="133">
          <cell r="A133" t="str">
            <v>Digiplus Trans Studio Mall Bali</v>
          </cell>
          <cell r="B133" t="str">
            <v>Digiplus</v>
          </cell>
          <cell r="C133" t="str">
            <v>Digiplus</v>
          </cell>
          <cell r="D133" t="str">
            <v>Tono</v>
          </cell>
          <cell r="E133" t="str">
            <v>Junaidi Ismail</v>
          </cell>
          <cell r="F133" t="str">
            <v>Yuni Anggraini</v>
          </cell>
        </row>
        <row r="134">
          <cell r="A134" t="str">
            <v>Digiplus Trans Studio Mall Makassar</v>
          </cell>
          <cell r="B134" t="str">
            <v>Digiplus</v>
          </cell>
          <cell r="C134" t="str">
            <v>Digiplus</v>
          </cell>
          <cell r="D134" t="str">
            <v>Eman</v>
          </cell>
          <cell r="E134" t="str">
            <v>Hendra Al Aziz</v>
          </cell>
          <cell r="F134" t="str">
            <v>Rizal</v>
          </cell>
        </row>
        <row r="135">
          <cell r="A135" t="str">
            <v>Digiplus Transpark Bintaro</v>
          </cell>
          <cell r="B135" t="str">
            <v>Digiplus</v>
          </cell>
          <cell r="C135" t="str">
            <v>Digiplus</v>
          </cell>
          <cell r="D135" t="str">
            <v>Iwan</v>
          </cell>
          <cell r="E135" t="str">
            <v>Denisahri N. P</v>
          </cell>
          <cell r="F135" t="str">
            <v>Kartini</v>
          </cell>
        </row>
        <row r="136">
          <cell r="A136" t="str">
            <v>Digiplus Tunjungan Plaza 3</v>
          </cell>
          <cell r="B136" t="str">
            <v>Digiplus</v>
          </cell>
          <cell r="C136" t="str">
            <v>Digiplus</v>
          </cell>
          <cell r="D136" t="str">
            <v>Yudhis</v>
          </cell>
          <cell r="E136" t="str">
            <v>Denisahri N. P</v>
          </cell>
          <cell r="F136" t="str">
            <v>Septania Fathorosi</v>
          </cell>
        </row>
        <row r="137">
          <cell r="A137" t="str">
            <v>Digiplus WTC Surabaya</v>
          </cell>
          <cell r="B137" t="str">
            <v>Digiplus</v>
          </cell>
          <cell r="C137" t="str">
            <v>Digiplus</v>
          </cell>
          <cell r="D137" t="str">
            <v>Yudhis</v>
          </cell>
          <cell r="E137" t="str">
            <v>Denisahri N. P</v>
          </cell>
          <cell r="F137" t="str">
            <v>Septania Fathorosi</v>
          </cell>
        </row>
        <row r="138">
          <cell r="A138" t="str">
            <v>Emporium Pluit</v>
          </cell>
          <cell r="B138" t="str">
            <v>Digimap</v>
          </cell>
          <cell r="C138" t="str">
            <v>Digimap</v>
          </cell>
          <cell r="D138" t="str">
            <v>Ilham</v>
          </cell>
          <cell r="E138" t="str">
            <v>Junaidi Ismail</v>
          </cell>
          <cell r="F138" t="str">
            <v>Dimas Priwidyanto</v>
          </cell>
        </row>
        <row r="139">
          <cell r="A139" t="str">
            <v>Galaxy Mall Surabaya</v>
          </cell>
          <cell r="B139" t="str">
            <v>Digimap</v>
          </cell>
          <cell r="C139" t="str">
            <v>Digimap</v>
          </cell>
          <cell r="D139" t="str">
            <v>Yusuf</v>
          </cell>
          <cell r="E139" t="str">
            <v>Denisahri N. P</v>
          </cell>
          <cell r="F139" t="str">
            <v>Septania Fathorosi</v>
          </cell>
        </row>
        <row r="140">
          <cell r="A140" t="str">
            <v>Grand Indonesia</v>
          </cell>
          <cell r="B140" t="str">
            <v>Digimap</v>
          </cell>
          <cell r="C140" t="str">
            <v>Digimap</v>
          </cell>
          <cell r="D140" t="str">
            <v>Ilham</v>
          </cell>
          <cell r="E140" t="str">
            <v>Junaidi Ismail</v>
          </cell>
          <cell r="F140" t="str">
            <v>Dimas Priwidyanto</v>
          </cell>
        </row>
        <row r="141">
          <cell r="A141" t="str">
            <v>Grand Mall Palu</v>
          </cell>
          <cell r="B141" t="str">
            <v>Digimap</v>
          </cell>
          <cell r="C141" t="str">
            <v>Digimap</v>
          </cell>
          <cell r="D141" t="str">
            <v>Zein</v>
          </cell>
          <cell r="E141" t="str">
            <v>Hendra Al Aziz</v>
          </cell>
          <cell r="F141" t="str">
            <v>Rizal</v>
          </cell>
        </row>
        <row r="142">
          <cell r="A142" t="str">
            <v>Grand Tarakan Mall</v>
          </cell>
          <cell r="B142" t="str">
            <v>Digimap</v>
          </cell>
          <cell r="C142" t="str">
            <v>Digimap</v>
          </cell>
          <cell r="D142" t="str">
            <v>Ryan</v>
          </cell>
          <cell r="E142" t="str">
            <v>Denisahri N. P</v>
          </cell>
          <cell r="F142" t="str">
            <v>Hari Suseno</v>
          </cell>
        </row>
        <row r="143">
          <cell r="A143" t="str">
            <v>Gresik Mall</v>
          </cell>
          <cell r="B143" t="str">
            <v>Digimap</v>
          </cell>
          <cell r="C143" t="str">
            <v>Digimap</v>
          </cell>
          <cell r="D143" t="str">
            <v>Yusuf</v>
          </cell>
          <cell r="E143" t="str">
            <v>Denisahri N. P</v>
          </cell>
          <cell r="F143" t="str">
            <v>Septania Fathorosi</v>
          </cell>
        </row>
        <row r="144">
          <cell r="A144" t="str">
            <v>Harapan Indah HIVE</v>
          </cell>
          <cell r="B144" t="str">
            <v>Digimap</v>
          </cell>
          <cell r="C144" t="str">
            <v>Digimap</v>
          </cell>
          <cell r="D144" t="str">
            <v>Arman</v>
          </cell>
          <cell r="E144" t="str">
            <v>Junaidi Ismail</v>
          </cell>
          <cell r="F144" t="str">
            <v>Rizqi Rudiansah</v>
          </cell>
        </row>
        <row r="145">
          <cell r="A145" t="str">
            <v>Icon Sanur Bali</v>
          </cell>
          <cell r="B145" t="str">
            <v>Digimap</v>
          </cell>
          <cell r="C145" t="str">
            <v>Digimap</v>
          </cell>
          <cell r="D145" t="str">
            <v>Tono</v>
          </cell>
          <cell r="E145" t="str">
            <v>Junaidi Ismail</v>
          </cell>
          <cell r="F145" t="str">
            <v>Yuni Anggraini</v>
          </cell>
        </row>
        <row r="146">
          <cell r="A146" t="str">
            <v>Jatinangor Town Square</v>
          </cell>
          <cell r="B146" t="str">
            <v>Digimap</v>
          </cell>
          <cell r="C146" t="str">
            <v>Digimap</v>
          </cell>
          <cell r="D146" t="str">
            <v>Arif</v>
          </cell>
          <cell r="E146" t="str">
            <v>Junaidi Ismail</v>
          </cell>
          <cell r="F146" t="str">
            <v>Rahmat Depiyar</v>
          </cell>
        </row>
        <row r="147">
          <cell r="A147" t="str">
            <v>Java Mall Semarang</v>
          </cell>
          <cell r="B147" t="str">
            <v>Digimap</v>
          </cell>
          <cell r="C147" t="str">
            <v>Digimap</v>
          </cell>
          <cell r="D147" t="str">
            <v>Yudistira</v>
          </cell>
          <cell r="E147" t="str">
            <v>Denisahri N. P</v>
          </cell>
          <cell r="F147" t="str">
            <v>Eko Budi Setiawan</v>
          </cell>
        </row>
        <row r="148">
          <cell r="A148" t="str">
            <v>Juanda Tasikmalaya</v>
          </cell>
          <cell r="B148" t="str">
            <v>Digimap</v>
          </cell>
          <cell r="C148" t="str">
            <v>Digimap</v>
          </cell>
          <cell r="D148" t="str">
            <v>Arif</v>
          </cell>
          <cell r="E148" t="str">
            <v>Junaidi Ismail</v>
          </cell>
          <cell r="F148" t="str">
            <v>Rahmat Depiyar</v>
          </cell>
        </row>
        <row r="149">
          <cell r="A149" t="str">
            <v>Kingsmall Bandung</v>
          </cell>
          <cell r="B149" t="str">
            <v>Digimap</v>
          </cell>
          <cell r="C149" t="str">
            <v>Digimap</v>
          </cell>
          <cell r="D149" t="str">
            <v>Arif</v>
          </cell>
          <cell r="E149" t="str">
            <v>Junaidi Ismail</v>
          </cell>
          <cell r="F149" t="str">
            <v>Rahmat Depiyar</v>
          </cell>
        </row>
        <row r="150">
          <cell r="A150" t="str">
            <v>Kota Baru Parahyangan</v>
          </cell>
          <cell r="B150" t="str">
            <v>Digimap</v>
          </cell>
          <cell r="C150" t="str">
            <v>Digimap</v>
          </cell>
          <cell r="D150" t="str">
            <v>Arif</v>
          </cell>
          <cell r="E150" t="str">
            <v>Junaidi Ismail</v>
          </cell>
          <cell r="F150" t="str">
            <v>Rahmat Depiyar</v>
          </cell>
        </row>
        <row r="151">
          <cell r="A151" t="str">
            <v>Kudus Ext Mall</v>
          </cell>
          <cell r="B151" t="str">
            <v>Digimap</v>
          </cell>
          <cell r="C151" t="str">
            <v>Digimap</v>
          </cell>
          <cell r="D151" t="str">
            <v>Yudistira</v>
          </cell>
          <cell r="E151" t="str">
            <v>Denisahri N. P</v>
          </cell>
          <cell r="F151" t="str">
            <v>Eko Budi Setiawan</v>
          </cell>
        </row>
        <row r="152">
          <cell r="A152" t="str">
            <v>Lippo Plaza Batu</v>
          </cell>
          <cell r="B152" t="str">
            <v>Digimap</v>
          </cell>
          <cell r="C152" t="str">
            <v>Digimap</v>
          </cell>
          <cell r="D152" t="str">
            <v>Sigit</v>
          </cell>
          <cell r="E152" t="str">
            <v>Denisahri N. P</v>
          </cell>
          <cell r="F152" t="str">
            <v>Hari Suseno</v>
          </cell>
        </row>
        <row r="153">
          <cell r="A153" t="str">
            <v>Lippo Plaza Jambi</v>
          </cell>
          <cell r="B153" t="str">
            <v>Digimap</v>
          </cell>
          <cell r="C153" t="str">
            <v>Digimap</v>
          </cell>
          <cell r="D153" t="str">
            <v>Ryan</v>
          </cell>
          <cell r="E153" t="str">
            <v>Hendra Al Aziz</v>
          </cell>
          <cell r="F153" t="str">
            <v>Eis Vindi</v>
          </cell>
        </row>
        <row r="154">
          <cell r="A154" t="str">
            <v>Lippo Plaza Kairagi Manado</v>
          </cell>
          <cell r="B154" t="str">
            <v>Digimap</v>
          </cell>
          <cell r="C154" t="str">
            <v>Digimap</v>
          </cell>
          <cell r="D154" t="str">
            <v>Zein</v>
          </cell>
          <cell r="E154" t="str">
            <v>Hendra Al Aziz</v>
          </cell>
          <cell r="F154" t="str">
            <v>Rizal</v>
          </cell>
        </row>
        <row r="155">
          <cell r="A155" t="str">
            <v>Lippo Plaza Kramat Jati</v>
          </cell>
          <cell r="B155" t="str">
            <v>Digimap</v>
          </cell>
          <cell r="C155" t="str">
            <v>Digimap</v>
          </cell>
          <cell r="D155" t="str">
            <v>Ilham</v>
          </cell>
          <cell r="E155" t="str">
            <v>Junaidi Ismail</v>
          </cell>
          <cell r="F155" t="str">
            <v>Dimas Priwidyanto</v>
          </cell>
        </row>
        <row r="156">
          <cell r="A156" t="str">
            <v>Lippo Plaza Palangkaraya</v>
          </cell>
          <cell r="B156" t="str">
            <v>Digimap</v>
          </cell>
          <cell r="C156" t="str">
            <v>Digimap</v>
          </cell>
          <cell r="D156" t="str">
            <v>Ryan</v>
          </cell>
          <cell r="E156" t="str">
            <v>Denisahri N. P</v>
          </cell>
          <cell r="F156" t="str">
            <v>Hari Suseno</v>
          </cell>
        </row>
        <row r="157">
          <cell r="A157" t="str">
            <v>Living World Kota Wisata</v>
          </cell>
          <cell r="B157" t="str">
            <v>Digimap</v>
          </cell>
          <cell r="C157" t="str">
            <v>Digimap</v>
          </cell>
          <cell r="D157" t="str">
            <v>Arman</v>
          </cell>
          <cell r="E157" t="str">
            <v>Junaidi Ismail</v>
          </cell>
          <cell r="F157" t="str">
            <v>Rizqi Rudiansah</v>
          </cell>
        </row>
        <row r="158">
          <cell r="A158" t="str">
            <v>Lotte Shopping Avenue</v>
          </cell>
          <cell r="B158" t="str">
            <v>Digimap</v>
          </cell>
          <cell r="C158" t="str">
            <v>Digimap</v>
          </cell>
          <cell r="D158" t="str">
            <v>Isna</v>
          </cell>
          <cell r="E158" t="str">
            <v>Hendra Al Aziz</v>
          </cell>
          <cell r="F158" t="str">
            <v>Ahmad Yoga</v>
          </cell>
        </row>
        <row r="159">
          <cell r="A159" t="str">
            <v>Lubuk Linggau</v>
          </cell>
          <cell r="B159" t="str">
            <v>Digimap</v>
          </cell>
          <cell r="C159" t="str">
            <v>Digimap</v>
          </cell>
          <cell r="D159" t="str">
            <v>Ryan</v>
          </cell>
          <cell r="E159" t="str">
            <v>Hendra Al Aziz</v>
          </cell>
          <cell r="F159" t="str">
            <v>Eis Vindi</v>
          </cell>
        </row>
        <row r="160">
          <cell r="A160" t="str">
            <v>Malang Town Square</v>
          </cell>
          <cell r="B160" t="str">
            <v>Digimap</v>
          </cell>
          <cell r="C160" t="str">
            <v>Digimap</v>
          </cell>
          <cell r="D160" t="str">
            <v>Sigit</v>
          </cell>
          <cell r="E160" t="str">
            <v>Denisahri N. P</v>
          </cell>
          <cell r="F160" t="str">
            <v>Hari Suseno</v>
          </cell>
        </row>
        <row r="161">
          <cell r="A161" t="str">
            <v>Maleo Town Square Mamuju</v>
          </cell>
          <cell r="B161" t="str">
            <v>Digimap</v>
          </cell>
          <cell r="C161" t="str">
            <v>Digimap</v>
          </cell>
          <cell r="D161" t="str">
            <v>Zein</v>
          </cell>
          <cell r="E161" t="str">
            <v>Hendra Al Aziz</v>
          </cell>
          <cell r="F161" t="str">
            <v>Rizal</v>
          </cell>
        </row>
        <row r="162">
          <cell r="A162" t="str">
            <v>Malioboro Mall</v>
          </cell>
          <cell r="B162" t="str">
            <v>Digimap</v>
          </cell>
          <cell r="C162" t="str">
            <v>Digimap</v>
          </cell>
          <cell r="D162" t="str">
            <v>Yudistira</v>
          </cell>
          <cell r="E162" t="str">
            <v>Denisahri N. P</v>
          </cell>
          <cell r="F162" t="str">
            <v>Eko Budi Setiawan</v>
          </cell>
        </row>
        <row r="163">
          <cell r="A163" t="str">
            <v>Mall Bali Galeria</v>
          </cell>
          <cell r="B163" t="str">
            <v>Digimap</v>
          </cell>
          <cell r="C163" t="str">
            <v>Digimap</v>
          </cell>
          <cell r="D163" t="str">
            <v>Tono</v>
          </cell>
          <cell r="E163" t="str">
            <v>Junaidi Ismail</v>
          </cell>
          <cell r="F163" t="str">
            <v>Yuni Anggraini</v>
          </cell>
        </row>
        <row r="164">
          <cell r="A164" t="str">
            <v>Mall Cijantung</v>
          </cell>
          <cell r="B164" t="str">
            <v>Digimap</v>
          </cell>
          <cell r="C164" t="str">
            <v>Digimap</v>
          </cell>
          <cell r="D164" t="str">
            <v>Ilham</v>
          </cell>
          <cell r="E164" t="str">
            <v>Junaidi Ismail</v>
          </cell>
          <cell r="F164" t="str">
            <v>Dimas Priwidyanto</v>
          </cell>
        </row>
        <row r="165">
          <cell r="A165" t="str">
            <v>Mall Indramayu</v>
          </cell>
          <cell r="B165" t="str">
            <v>Digimap</v>
          </cell>
          <cell r="C165" t="str">
            <v>Digimap</v>
          </cell>
          <cell r="D165" t="str">
            <v>Arif</v>
          </cell>
          <cell r="E165" t="str">
            <v>Junaidi Ismail</v>
          </cell>
          <cell r="F165" t="str">
            <v>Rahmat Depiyar</v>
          </cell>
        </row>
        <row r="166">
          <cell r="A166" t="str">
            <v>Mall Puri Indah</v>
          </cell>
          <cell r="B166" t="str">
            <v>Digimap</v>
          </cell>
          <cell r="C166" t="str">
            <v>Digimap</v>
          </cell>
          <cell r="D166" t="str">
            <v>Ilham</v>
          </cell>
          <cell r="E166" t="str">
            <v>Junaidi Ismail</v>
          </cell>
          <cell r="F166" t="str">
            <v>Dimas Priwidyanto</v>
          </cell>
        </row>
        <row r="167">
          <cell r="A167" t="str">
            <v>Mall Taman Anggrek</v>
          </cell>
          <cell r="B167" t="str">
            <v>Digimap</v>
          </cell>
          <cell r="C167" t="str">
            <v>Digimap</v>
          </cell>
          <cell r="D167" t="str">
            <v>Ilham</v>
          </cell>
          <cell r="E167" t="str">
            <v>Junaidi Ismail</v>
          </cell>
          <cell r="F167" t="str">
            <v>Dimas Priwidyanto</v>
          </cell>
        </row>
        <row r="168">
          <cell r="A168" t="str">
            <v>Mall Tentrem Semarang</v>
          </cell>
          <cell r="B168" t="str">
            <v>Digimap</v>
          </cell>
          <cell r="C168" t="str">
            <v>Digimap</v>
          </cell>
          <cell r="D168" t="str">
            <v>Yudistira</v>
          </cell>
          <cell r="E168" t="str">
            <v>Denisahri N. P</v>
          </cell>
          <cell r="F168" t="str">
            <v>Eko Budi Setiawan</v>
          </cell>
        </row>
        <row r="169">
          <cell r="A169" t="str">
            <v>Mandau CityMall</v>
          </cell>
          <cell r="B169" t="str">
            <v>Digimap</v>
          </cell>
          <cell r="C169" t="str">
            <v>Digimap</v>
          </cell>
          <cell r="D169" t="str">
            <v>Zein</v>
          </cell>
          <cell r="E169" t="str">
            <v>Hendra Al Aziz</v>
          </cell>
          <cell r="F169" t="str">
            <v>Sopian</v>
          </cell>
        </row>
        <row r="170">
          <cell r="A170" t="str">
            <v>MERR Surabaya</v>
          </cell>
          <cell r="B170" t="str">
            <v>Digimap</v>
          </cell>
          <cell r="C170" t="str">
            <v>Digimap</v>
          </cell>
          <cell r="D170" t="str">
            <v>Yusuf</v>
          </cell>
          <cell r="E170" t="str">
            <v>Denisahri N. P</v>
          </cell>
          <cell r="F170" t="str">
            <v>Septania Fathorosi</v>
          </cell>
        </row>
        <row r="171">
          <cell r="A171" t="str">
            <v>Metro Lampung</v>
          </cell>
          <cell r="B171" t="str">
            <v>Digimap</v>
          </cell>
          <cell r="C171" t="str">
            <v>Digimap</v>
          </cell>
          <cell r="D171" t="str">
            <v>Ryan</v>
          </cell>
          <cell r="E171" t="str">
            <v>Hendra Al Aziz</v>
          </cell>
          <cell r="F171" t="str">
            <v>Eis Vindi</v>
          </cell>
        </row>
        <row r="172">
          <cell r="A172" t="str">
            <v>Pacific Mall Tegal</v>
          </cell>
          <cell r="B172" t="str">
            <v>Digimap</v>
          </cell>
          <cell r="C172" t="str">
            <v>Digimap</v>
          </cell>
          <cell r="D172" t="str">
            <v>Yudistira</v>
          </cell>
          <cell r="E172" t="str">
            <v>Denisahri N. P</v>
          </cell>
          <cell r="F172" t="str">
            <v>Eko Budi Setiawan</v>
          </cell>
        </row>
        <row r="173">
          <cell r="A173" t="str">
            <v>Pacific Place</v>
          </cell>
          <cell r="B173" t="str">
            <v>Digimap</v>
          </cell>
          <cell r="C173" t="str">
            <v>Digimap</v>
          </cell>
          <cell r="D173" t="str">
            <v>Isna</v>
          </cell>
          <cell r="E173" t="str">
            <v>Hendra Al Aziz</v>
          </cell>
          <cell r="F173" t="str">
            <v>Ahmad Yoga</v>
          </cell>
        </row>
        <row r="174">
          <cell r="A174" t="str">
            <v>Pakuwon Mall</v>
          </cell>
          <cell r="B174" t="str">
            <v>Digimap</v>
          </cell>
          <cell r="C174" t="str">
            <v>Digimap</v>
          </cell>
          <cell r="D174" t="str">
            <v>Yusuf</v>
          </cell>
          <cell r="E174" t="str">
            <v>Denisahri N. P</v>
          </cell>
          <cell r="F174" t="str">
            <v>Septania Fathorosi</v>
          </cell>
        </row>
        <row r="175">
          <cell r="A175" t="str">
            <v>Pakuwon Mall Solo Baru</v>
          </cell>
          <cell r="B175" t="str">
            <v>Digimap</v>
          </cell>
          <cell r="C175" t="str">
            <v>Digimap</v>
          </cell>
          <cell r="D175" t="str">
            <v>Yudistira</v>
          </cell>
          <cell r="E175" t="str">
            <v>Denisahri N. P</v>
          </cell>
          <cell r="F175" t="str">
            <v>Eko Budi Setiawan</v>
          </cell>
        </row>
        <row r="176">
          <cell r="A176" t="str">
            <v>Palembang Indah Mall</v>
          </cell>
          <cell r="B176" t="str">
            <v>Digimap</v>
          </cell>
          <cell r="C176" t="str">
            <v>Digimap</v>
          </cell>
          <cell r="D176" t="str">
            <v>Ryan</v>
          </cell>
          <cell r="E176" t="str">
            <v>Hendra Al Aziz</v>
          </cell>
          <cell r="F176" t="str">
            <v>Eis Vindi</v>
          </cell>
        </row>
        <row r="177">
          <cell r="A177" t="str">
            <v>Paskal 23 Bandung</v>
          </cell>
          <cell r="B177" t="str">
            <v>Digimap</v>
          </cell>
          <cell r="C177" t="str">
            <v>Digimap</v>
          </cell>
          <cell r="D177" t="str">
            <v>Arif</v>
          </cell>
          <cell r="E177" t="str">
            <v>Junaidi Ismail</v>
          </cell>
          <cell r="F177" t="str">
            <v>Rahmat Depiyar</v>
          </cell>
        </row>
        <row r="178">
          <cell r="A178" t="str">
            <v>Planet Sports BXC2</v>
          </cell>
          <cell r="B178" t="str">
            <v>Digiplus</v>
          </cell>
          <cell r="C178" t="str">
            <v>SIS</v>
          </cell>
          <cell r="D178" t="str">
            <v>Iwan</v>
          </cell>
          <cell r="E178" t="str">
            <v>Denisahri N. P</v>
          </cell>
          <cell r="F178" t="str">
            <v>Kartini</v>
          </cell>
        </row>
        <row r="179">
          <cell r="A179" t="str">
            <v>Planet Sports Grand Indonesia</v>
          </cell>
          <cell r="B179" t="str">
            <v>Digiplus</v>
          </cell>
          <cell r="C179" t="str">
            <v>SIS</v>
          </cell>
          <cell r="D179" t="str">
            <v>Andri</v>
          </cell>
          <cell r="E179" t="str">
            <v>Denisahri N. P</v>
          </cell>
          <cell r="F179" t="str">
            <v>Abdul Rahman</v>
          </cell>
        </row>
        <row r="180">
          <cell r="A180" t="str">
            <v>Planet Sports MKG</v>
          </cell>
          <cell r="B180" t="str">
            <v>Digiplus</v>
          </cell>
          <cell r="C180" t="str">
            <v>SIS</v>
          </cell>
          <cell r="D180" t="str">
            <v>Andri</v>
          </cell>
          <cell r="E180" t="str">
            <v>Denisahri N. P</v>
          </cell>
          <cell r="F180" t="str">
            <v>Abdul Rahman</v>
          </cell>
        </row>
        <row r="181">
          <cell r="A181" t="str">
            <v>Planet Sports PIM</v>
          </cell>
          <cell r="B181" t="str">
            <v>Digiplus</v>
          </cell>
          <cell r="C181" t="str">
            <v>SIS</v>
          </cell>
          <cell r="D181" t="str">
            <v>Iwan</v>
          </cell>
          <cell r="E181" t="str">
            <v>Denisahri N. P</v>
          </cell>
          <cell r="F181" t="str">
            <v>Kartini</v>
          </cell>
        </row>
        <row r="182">
          <cell r="A182" t="str">
            <v>Planet Sports Senayan City</v>
          </cell>
          <cell r="B182" t="str">
            <v>Digiplus</v>
          </cell>
          <cell r="C182" t="str">
            <v>SIS</v>
          </cell>
          <cell r="D182" t="str">
            <v>Iwan</v>
          </cell>
          <cell r="E182" t="str">
            <v>Denisahri N. P</v>
          </cell>
          <cell r="F182" t="str">
            <v>Kartini</v>
          </cell>
        </row>
        <row r="183">
          <cell r="A183" t="str">
            <v>Planet Sports Tunjungan Plaza</v>
          </cell>
          <cell r="B183" t="str">
            <v>Digiplus</v>
          </cell>
          <cell r="C183" t="str">
            <v>SIS</v>
          </cell>
          <cell r="D183" t="str">
            <v>Yudhis</v>
          </cell>
          <cell r="E183" t="str">
            <v>Denisahri N. P</v>
          </cell>
          <cell r="F183" t="str">
            <v>Septania Fathorosi</v>
          </cell>
        </row>
        <row r="184">
          <cell r="A184" t="str">
            <v>Plaza Balikpapan</v>
          </cell>
          <cell r="B184" t="str">
            <v>Digimap</v>
          </cell>
          <cell r="C184" t="str">
            <v>Digimap</v>
          </cell>
          <cell r="D184" t="str">
            <v>Ryan</v>
          </cell>
          <cell r="E184" t="str">
            <v>Denisahri N. P</v>
          </cell>
          <cell r="F184" t="str">
            <v>Hari Suseno</v>
          </cell>
        </row>
        <row r="185">
          <cell r="A185" t="str">
            <v>Plaza Semanggi</v>
          </cell>
          <cell r="B185" t="str">
            <v>Digimap</v>
          </cell>
          <cell r="C185" t="str">
            <v>Digimap</v>
          </cell>
          <cell r="D185" t="str">
            <v>Isna</v>
          </cell>
          <cell r="E185" t="str">
            <v>Hendra Al Aziz</v>
          </cell>
          <cell r="F185" t="str">
            <v>Ahmad Yoga</v>
          </cell>
        </row>
        <row r="186">
          <cell r="A186" t="str">
            <v>Plaza Senayan</v>
          </cell>
          <cell r="B186" t="str">
            <v>Digimap</v>
          </cell>
          <cell r="C186" t="str">
            <v>Digimap</v>
          </cell>
          <cell r="D186" t="str">
            <v>Isna</v>
          </cell>
          <cell r="E186" t="str">
            <v>Hendra Al Aziz</v>
          </cell>
          <cell r="F186" t="str">
            <v>Ahmad Yoga</v>
          </cell>
        </row>
        <row r="187">
          <cell r="A187" t="str">
            <v>Plaza Surabaya</v>
          </cell>
          <cell r="B187" t="str">
            <v>Digimap</v>
          </cell>
          <cell r="C187" t="str">
            <v>Digimap</v>
          </cell>
          <cell r="D187" t="str">
            <v>Yusuf</v>
          </cell>
          <cell r="E187" t="str">
            <v>Denisahri N. P</v>
          </cell>
          <cell r="F187" t="str">
            <v>Septania Fathorosi</v>
          </cell>
        </row>
        <row r="188">
          <cell r="A188" t="str">
            <v>Pondok Indah Mall</v>
          </cell>
          <cell r="B188" t="str">
            <v>Digimap</v>
          </cell>
          <cell r="C188" t="str">
            <v>Digimap</v>
          </cell>
          <cell r="D188" t="str">
            <v>Isna</v>
          </cell>
          <cell r="E188" t="str">
            <v>Hendra Al Aziz</v>
          </cell>
          <cell r="F188" t="str">
            <v>Ahmad Yoga</v>
          </cell>
        </row>
        <row r="189">
          <cell r="A189" t="str">
            <v>Pondok Indah Mall 3</v>
          </cell>
          <cell r="B189" t="str">
            <v>Digimap</v>
          </cell>
          <cell r="C189" t="str">
            <v>Digimap</v>
          </cell>
          <cell r="D189" t="str">
            <v>Isna</v>
          </cell>
          <cell r="E189" t="str">
            <v>Hendra Al Aziz</v>
          </cell>
          <cell r="F189" t="str">
            <v>Ahmad Yoga</v>
          </cell>
        </row>
        <row r="190">
          <cell r="A190" t="str">
            <v>Ponorogo City Center</v>
          </cell>
          <cell r="B190" t="str">
            <v>Digimap</v>
          </cell>
          <cell r="C190" t="str">
            <v>Digimap</v>
          </cell>
          <cell r="D190" t="str">
            <v>Sigit</v>
          </cell>
          <cell r="E190" t="str">
            <v>Denisahri N. P</v>
          </cell>
          <cell r="F190" t="str">
            <v>Hari Suseno</v>
          </cell>
        </row>
        <row r="191">
          <cell r="A191" t="str">
            <v>Pop-up Store Pondok Indah Mall</v>
          </cell>
          <cell r="B191" t="str">
            <v>Digimap</v>
          </cell>
          <cell r="C191" t="str">
            <v>Digimap</v>
          </cell>
          <cell r="D191" t="str">
            <v>Isna</v>
          </cell>
          <cell r="E191" t="str">
            <v>Hendra Al Aziz</v>
          </cell>
          <cell r="F191" t="str">
            <v>Ahmad Yoga</v>
          </cell>
        </row>
        <row r="192">
          <cell r="A192" t="str">
            <v>Revo Town</v>
          </cell>
          <cell r="B192" t="str">
            <v>Digimap</v>
          </cell>
          <cell r="C192" t="str">
            <v>Digimap</v>
          </cell>
          <cell r="D192" t="str">
            <v>Arman</v>
          </cell>
          <cell r="E192" t="str">
            <v>Junaidi Ismail</v>
          </cell>
          <cell r="F192" t="str">
            <v>Rizqi Rudiansah</v>
          </cell>
        </row>
        <row r="193">
          <cell r="A193" t="str">
            <v>Roxy Square Jember</v>
          </cell>
          <cell r="B193" t="str">
            <v>Digimap</v>
          </cell>
          <cell r="C193" t="str">
            <v>Digimap</v>
          </cell>
          <cell r="D193" t="str">
            <v>Sigit</v>
          </cell>
          <cell r="E193" t="str">
            <v>Denisahri N. P</v>
          </cell>
          <cell r="F193" t="str">
            <v>Hari Suseno</v>
          </cell>
        </row>
        <row r="194">
          <cell r="A194" t="str">
            <v>Ruko Bojonegoro</v>
          </cell>
          <cell r="B194" t="str">
            <v>Digimap</v>
          </cell>
          <cell r="C194" t="str">
            <v>Digimap</v>
          </cell>
          <cell r="D194" t="str">
            <v>Yusuf</v>
          </cell>
          <cell r="E194" t="str">
            <v>Denisahri N. P</v>
          </cell>
          <cell r="F194" t="str">
            <v>Septania Fathorosi</v>
          </cell>
        </row>
        <row r="195">
          <cell r="A195" t="str">
            <v>Ruko Salatiga</v>
          </cell>
          <cell r="B195" t="str">
            <v>Digimap</v>
          </cell>
          <cell r="C195" t="str">
            <v>Digimap</v>
          </cell>
          <cell r="D195" t="str">
            <v>Yudistira</v>
          </cell>
          <cell r="E195" t="str">
            <v>Denisahri N. P</v>
          </cell>
          <cell r="F195" t="str">
            <v>Eko Budi Setiawan</v>
          </cell>
        </row>
        <row r="196">
          <cell r="A196" t="str">
            <v>Samsung Pacific Mall Tegal</v>
          </cell>
          <cell r="B196" t="str">
            <v>Digiplus</v>
          </cell>
          <cell r="C196" t="str">
            <v>Samsung</v>
          </cell>
          <cell r="D196" t="str">
            <v>Amiril</v>
          </cell>
          <cell r="E196" t="str">
            <v>Denisahri N. P</v>
          </cell>
          <cell r="F196" t="str">
            <v>Eko Budi Setiawan</v>
          </cell>
        </row>
        <row r="197">
          <cell r="A197" t="str">
            <v>Samsung Rita Supermall Tegal</v>
          </cell>
          <cell r="B197" t="str">
            <v>Digiplus</v>
          </cell>
          <cell r="C197" t="str">
            <v>Samsung</v>
          </cell>
          <cell r="D197" t="str">
            <v>Amiril</v>
          </cell>
          <cell r="E197" t="str">
            <v>Denisahri N. P</v>
          </cell>
          <cell r="F197" t="str">
            <v>Eko Budi Setiawan</v>
          </cell>
        </row>
        <row r="198">
          <cell r="A198" t="str">
            <v>Samsung SES Shilla at Sawangan</v>
          </cell>
          <cell r="B198" t="str">
            <v>Digiplus</v>
          </cell>
          <cell r="C198" t="str">
            <v>Samsung</v>
          </cell>
          <cell r="D198" t="str">
            <v>Aditya</v>
          </cell>
          <cell r="E198" t="str">
            <v>Denisahri N. P</v>
          </cell>
          <cell r="F198" t="str">
            <v>Kartini</v>
          </cell>
        </row>
        <row r="199">
          <cell r="A199" t="str">
            <v>Samsung SESP Basko Padang</v>
          </cell>
          <cell r="B199" t="str">
            <v>Digiplus</v>
          </cell>
          <cell r="C199" t="str">
            <v>Digiplus</v>
          </cell>
          <cell r="D199" t="str">
            <v>Rizky</v>
          </cell>
          <cell r="E199" t="str">
            <v>Hendra Al Aziz</v>
          </cell>
          <cell r="F199" t="str">
            <v>Sopian</v>
          </cell>
        </row>
        <row r="200">
          <cell r="A200" t="str">
            <v>Samsung SESP HIVE Harapan Indah</v>
          </cell>
          <cell r="B200" t="str">
            <v>Digiplus</v>
          </cell>
          <cell r="C200" t="str">
            <v>Samsung</v>
          </cell>
          <cell r="D200" t="str">
            <v>Aditya</v>
          </cell>
          <cell r="E200" t="str">
            <v>Denisahri N. P</v>
          </cell>
          <cell r="F200" t="str">
            <v>Kartini</v>
          </cell>
        </row>
        <row r="201">
          <cell r="A201" t="str">
            <v>Samsung SESP Plaza Semanggi</v>
          </cell>
          <cell r="B201" t="str">
            <v>Digiplus</v>
          </cell>
          <cell r="C201" t="str">
            <v>Samsung</v>
          </cell>
          <cell r="D201" t="str">
            <v>Iwan</v>
          </cell>
          <cell r="E201" t="str">
            <v>Denisahri N. P</v>
          </cell>
          <cell r="F201" t="str">
            <v>Kartini</v>
          </cell>
        </row>
        <row r="202">
          <cell r="A202" t="str">
            <v>Samsung SPS Grand Palu</v>
          </cell>
          <cell r="B202" t="str">
            <v>Digiplus</v>
          </cell>
          <cell r="C202" t="str">
            <v>Samsung</v>
          </cell>
          <cell r="D202" t="str">
            <v>Eman</v>
          </cell>
          <cell r="E202" t="str">
            <v>Hendra Al Aziz</v>
          </cell>
          <cell r="F202" t="str">
            <v>Rizal</v>
          </cell>
        </row>
        <row r="203">
          <cell r="A203" t="str">
            <v>Samsung SPS Suzuya Merdeka Mall Siantar</v>
          </cell>
          <cell r="B203" t="str">
            <v>Digiplus</v>
          </cell>
          <cell r="C203" t="str">
            <v>Samsung</v>
          </cell>
          <cell r="D203" t="str">
            <v>Rizky</v>
          </cell>
          <cell r="E203" t="str">
            <v>Hendra Al Aziz</v>
          </cell>
          <cell r="F203" t="str">
            <v>Sopian</v>
          </cell>
        </row>
        <row r="204">
          <cell r="A204" t="str">
            <v>Samsung The Grand Outlet</v>
          </cell>
          <cell r="B204" t="str">
            <v>Digiplus</v>
          </cell>
          <cell r="C204" t="str">
            <v>Samsung</v>
          </cell>
          <cell r="D204" t="str">
            <v>Kholik</v>
          </cell>
          <cell r="E204" t="str">
            <v>Junaidi Ismail</v>
          </cell>
          <cell r="F204" t="str">
            <v>Rahmat Depiyar</v>
          </cell>
        </row>
        <row r="205">
          <cell r="A205" t="str">
            <v>Samsung Unimas Sidoarjo</v>
          </cell>
          <cell r="B205" t="str">
            <v>Digiplus</v>
          </cell>
          <cell r="C205" t="str">
            <v>Samsung</v>
          </cell>
          <cell r="D205" t="str">
            <v>Yudhis</v>
          </cell>
          <cell r="E205" t="str">
            <v>Denisahri N. P</v>
          </cell>
          <cell r="F205" t="str">
            <v>Septania Fathorosi</v>
          </cell>
        </row>
        <row r="206">
          <cell r="A206" t="str">
            <v>Seibu Grand Indonesia</v>
          </cell>
          <cell r="B206" t="str">
            <v>Digiplus</v>
          </cell>
          <cell r="C206" t="str">
            <v>SIS</v>
          </cell>
          <cell r="D206" t="str">
            <v>Andri</v>
          </cell>
          <cell r="E206" t="str">
            <v>Denisahri N. P</v>
          </cell>
          <cell r="F206" t="str">
            <v>Abdul Rahman</v>
          </cell>
        </row>
        <row r="207">
          <cell r="A207" t="str">
            <v>SOGO Central Park</v>
          </cell>
          <cell r="B207" t="str">
            <v>Digiplus</v>
          </cell>
          <cell r="C207" t="str">
            <v>SIS</v>
          </cell>
          <cell r="D207" t="str">
            <v>Andri</v>
          </cell>
          <cell r="E207" t="str">
            <v>Denisahri N. P</v>
          </cell>
          <cell r="F207" t="str">
            <v>Abdul Rahman</v>
          </cell>
        </row>
        <row r="208">
          <cell r="A208" t="str">
            <v>SOGO Deli Park Mall</v>
          </cell>
          <cell r="B208" t="str">
            <v>Digiplus</v>
          </cell>
          <cell r="C208" t="str">
            <v>SIS</v>
          </cell>
          <cell r="D208" t="str">
            <v>Rizky</v>
          </cell>
          <cell r="E208" t="str">
            <v>Hendra Al Aziz</v>
          </cell>
          <cell r="F208" t="str">
            <v>Sopian</v>
          </cell>
        </row>
        <row r="209">
          <cell r="A209" t="str">
            <v>SOGO Emporium Pluit</v>
          </cell>
          <cell r="B209" t="str">
            <v>Digiplus</v>
          </cell>
          <cell r="C209" t="str">
            <v>SIS</v>
          </cell>
          <cell r="D209" t="str">
            <v>Aditya</v>
          </cell>
          <cell r="E209" t="str">
            <v>Denisahri N. P</v>
          </cell>
          <cell r="F209" t="str">
            <v>Kartini</v>
          </cell>
        </row>
        <row r="210">
          <cell r="A210" t="str">
            <v>SOGO Kota Kasablanka</v>
          </cell>
          <cell r="B210" t="str">
            <v>Digiplus</v>
          </cell>
          <cell r="C210" t="str">
            <v>SIS</v>
          </cell>
          <cell r="D210" t="str">
            <v>Andri</v>
          </cell>
          <cell r="E210" t="str">
            <v>Denisahri N. P</v>
          </cell>
          <cell r="F210" t="str">
            <v>Abdul Rahman</v>
          </cell>
        </row>
        <row r="211">
          <cell r="A211" t="str">
            <v>SOGO Lippo Mall Puri</v>
          </cell>
          <cell r="B211" t="str">
            <v>Digiplus</v>
          </cell>
          <cell r="C211" t="str">
            <v>SIS</v>
          </cell>
          <cell r="D211" t="str">
            <v>Iwan</v>
          </cell>
          <cell r="E211" t="str">
            <v>Denisahri N. P</v>
          </cell>
          <cell r="F211" t="str">
            <v>Kartini</v>
          </cell>
        </row>
        <row r="212">
          <cell r="A212" t="str">
            <v>SOGO Mall Kelapa Gading</v>
          </cell>
          <cell r="B212" t="str">
            <v>Digiplus</v>
          </cell>
          <cell r="C212" t="str">
            <v>SIS</v>
          </cell>
          <cell r="D212" t="str">
            <v>Andri</v>
          </cell>
          <cell r="E212" t="str">
            <v>Denisahri N. P</v>
          </cell>
          <cell r="F212" t="str">
            <v>Abdul Rahman</v>
          </cell>
        </row>
        <row r="213">
          <cell r="A213" t="str">
            <v>SOGO PVJ Bandung</v>
          </cell>
          <cell r="B213" t="str">
            <v>Digiplus</v>
          </cell>
          <cell r="C213" t="str">
            <v>SIS</v>
          </cell>
          <cell r="D213" t="str">
            <v>Kholik</v>
          </cell>
          <cell r="E213" t="str">
            <v>Junaidi Ismail</v>
          </cell>
          <cell r="F213" t="str">
            <v>Rahmat Depiyar</v>
          </cell>
        </row>
        <row r="214">
          <cell r="A214" t="str">
            <v>Solo Square</v>
          </cell>
          <cell r="B214" t="str">
            <v>Digimap</v>
          </cell>
          <cell r="C214" t="str">
            <v>Digimap</v>
          </cell>
          <cell r="D214" t="str">
            <v>Yudistira</v>
          </cell>
          <cell r="E214" t="str">
            <v>Denisahri N. P</v>
          </cell>
          <cell r="F214" t="str">
            <v>Eko Budi Setiawan</v>
          </cell>
        </row>
        <row r="215">
          <cell r="A215" t="str">
            <v>Street Basuki Rahmat Tulungagung</v>
          </cell>
          <cell r="B215" t="str">
            <v>Digimap</v>
          </cell>
          <cell r="C215" t="str">
            <v>Digimap</v>
          </cell>
          <cell r="D215" t="str">
            <v>Sigit</v>
          </cell>
          <cell r="E215" t="str">
            <v>Denisahri N. P</v>
          </cell>
          <cell r="F215" t="str">
            <v>Hari Suseno</v>
          </cell>
        </row>
        <row r="216">
          <cell r="A216" t="str">
            <v>Street BSD Loka</v>
          </cell>
          <cell r="B216" t="str">
            <v>Digimap</v>
          </cell>
          <cell r="C216" t="str">
            <v>Digimap</v>
          </cell>
          <cell r="D216" t="str">
            <v>Arman</v>
          </cell>
          <cell r="E216" t="str">
            <v>Junaidi Ismail</v>
          </cell>
          <cell r="F216" t="str">
            <v>Rizqi Rudiansah</v>
          </cell>
        </row>
        <row r="217">
          <cell r="A217" t="str">
            <v>Street Ciputat Raya</v>
          </cell>
          <cell r="B217" t="str">
            <v>Digimap</v>
          </cell>
          <cell r="C217" t="str">
            <v>Digimap</v>
          </cell>
          <cell r="D217" t="str">
            <v>Arman</v>
          </cell>
          <cell r="E217" t="str">
            <v>Junaidi Ismail</v>
          </cell>
          <cell r="F217" t="str">
            <v>Rizqi Rudiansah</v>
          </cell>
        </row>
        <row r="218">
          <cell r="A218" t="str">
            <v>Street Ciumbuleuit Bandung</v>
          </cell>
          <cell r="B218" t="str">
            <v>Digimap</v>
          </cell>
          <cell r="C218" t="str">
            <v>Digimap</v>
          </cell>
          <cell r="D218" t="str">
            <v>Arif</v>
          </cell>
          <cell r="E218" t="str">
            <v>Junaidi Ismail</v>
          </cell>
          <cell r="F218" t="str">
            <v>Rahmat Depiyar</v>
          </cell>
        </row>
        <row r="219">
          <cell r="A219" t="str">
            <v>Street Elang Laut</v>
          </cell>
          <cell r="B219" t="str">
            <v>Digimap</v>
          </cell>
          <cell r="C219" t="str">
            <v>Digimap</v>
          </cell>
          <cell r="D219" t="str">
            <v>Ilham</v>
          </cell>
          <cell r="E219" t="str">
            <v>Junaidi Ismail</v>
          </cell>
          <cell r="F219" t="str">
            <v>Dimas Priwidyanto</v>
          </cell>
        </row>
        <row r="220">
          <cell r="A220" t="str">
            <v>Street Fortune Folks Graha</v>
          </cell>
          <cell r="B220" t="str">
            <v>Digimap</v>
          </cell>
          <cell r="C220" t="str">
            <v>Digimap</v>
          </cell>
          <cell r="D220" t="str">
            <v>Isna</v>
          </cell>
          <cell r="E220" t="str">
            <v>Hendra Al Aziz</v>
          </cell>
          <cell r="F220" t="str">
            <v>Ahmad Yoga</v>
          </cell>
        </row>
        <row r="221">
          <cell r="A221" t="str">
            <v>Street Ngaliyan Semarang</v>
          </cell>
          <cell r="B221" t="str">
            <v>Digimap</v>
          </cell>
          <cell r="C221" t="str">
            <v>Digimap</v>
          </cell>
          <cell r="D221" t="str">
            <v>Yudistira</v>
          </cell>
          <cell r="E221" t="str">
            <v>Denisahri N. P</v>
          </cell>
          <cell r="F221" t="str">
            <v>Eko Budi Setiawan</v>
          </cell>
        </row>
        <row r="222">
          <cell r="A222" t="str">
            <v>Street Ruko Mojokerto</v>
          </cell>
          <cell r="B222" t="str">
            <v>Digimap</v>
          </cell>
          <cell r="C222" t="str">
            <v>Digimap</v>
          </cell>
          <cell r="D222" t="str">
            <v>Sigit</v>
          </cell>
          <cell r="E222" t="str">
            <v>Denisahri N. P</v>
          </cell>
          <cell r="F222" t="str">
            <v>Hari Suseno</v>
          </cell>
        </row>
        <row r="223">
          <cell r="A223" t="str">
            <v>Street Shilla at Sawangan</v>
          </cell>
          <cell r="B223" t="str">
            <v>Digimap</v>
          </cell>
          <cell r="C223" t="str">
            <v>Digimap</v>
          </cell>
          <cell r="D223" t="str">
            <v>Arman</v>
          </cell>
          <cell r="E223" t="str">
            <v>Junaidi Ismail</v>
          </cell>
          <cell r="F223" t="str">
            <v>Rizqi Rudiansah</v>
          </cell>
        </row>
        <row r="224">
          <cell r="A224" t="str">
            <v>Sun Plaza Medan</v>
          </cell>
          <cell r="B224" t="str">
            <v>Digimap</v>
          </cell>
          <cell r="C224" t="str">
            <v>Digimap</v>
          </cell>
          <cell r="D224" t="str">
            <v>Zein</v>
          </cell>
          <cell r="E224" t="str">
            <v>Hendra Al Aziz</v>
          </cell>
          <cell r="F224" t="str">
            <v>Sopian</v>
          </cell>
        </row>
        <row r="225">
          <cell r="A225" t="str">
            <v>Suncity Sidoarjo</v>
          </cell>
          <cell r="B225" t="str">
            <v>Digimap</v>
          </cell>
          <cell r="C225" t="str">
            <v>Digimap</v>
          </cell>
          <cell r="D225" t="str">
            <v>Sigit</v>
          </cell>
          <cell r="E225" t="str">
            <v>Denisahri N. P</v>
          </cell>
          <cell r="F225" t="str">
            <v>Hari Suseno</v>
          </cell>
        </row>
        <row r="226">
          <cell r="A226" t="str">
            <v>Sunset Road Bali</v>
          </cell>
          <cell r="B226" t="str">
            <v>Digimap</v>
          </cell>
          <cell r="C226" t="str">
            <v>Digimap</v>
          </cell>
          <cell r="D226" t="str">
            <v>Tono</v>
          </cell>
          <cell r="E226" t="str">
            <v>Junaidi Ismail</v>
          </cell>
          <cell r="F226" t="str">
            <v>Yuni Anggraini</v>
          </cell>
        </row>
        <row r="227">
          <cell r="A227" t="str">
            <v>Sunter Mall</v>
          </cell>
          <cell r="B227" t="str">
            <v>Digimap</v>
          </cell>
          <cell r="C227" t="str">
            <v>Digimap</v>
          </cell>
          <cell r="D227" t="str">
            <v>Ilham</v>
          </cell>
          <cell r="E227" t="str">
            <v>Junaidi Ismail</v>
          </cell>
          <cell r="F227" t="str">
            <v>Dimas Priwidyanto</v>
          </cell>
        </row>
        <row r="228">
          <cell r="A228" t="str">
            <v>Supermall Karawaci</v>
          </cell>
          <cell r="B228" t="str">
            <v>Digimap</v>
          </cell>
          <cell r="C228" t="str">
            <v>Digimap</v>
          </cell>
          <cell r="D228" t="str">
            <v>Arman</v>
          </cell>
          <cell r="E228" t="str">
            <v>Junaidi Ismail</v>
          </cell>
          <cell r="F228" t="str">
            <v>Rizqi Rudiansah</v>
          </cell>
        </row>
        <row r="229">
          <cell r="A229" t="str">
            <v>Suzuya Merdeka Square Siantar</v>
          </cell>
          <cell r="B229" t="str">
            <v>Digimap</v>
          </cell>
          <cell r="C229" t="str">
            <v>Digimap</v>
          </cell>
          <cell r="D229" t="str">
            <v>Zein</v>
          </cell>
          <cell r="E229" t="str">
            <v>Hendra Al Aziz</v>
          </cell>
          <cell r="F229" t="str">
            <v>Sopian</v>
          </cell>
        </row>
        <row r="230">
          <cell r="A230" t="str">
            <v>Tenth Avenue Bandung</v>
          </cell>
          <cell r="B230" t="str">
            <v>Digimap</v>
          </cell>
          <cell r="C230" t="str">
            <v>Digimap</v>
          </cell>
          <cell r="D230" t="str">
            <v>Arif</v>
          </cell>
          <cell r="E230" t="str">
            <v>Junaidi Ismail</v>
          </cell>
          <cell r="F230" t="str">
            <v>Rahmat Depiyar</v>
          </cell>
        </row>
        <row r="231">
          <cell r="A231" t="str">
            <v>The Park Kendari</v>
          </cell>
          <cell r="B231" t="str">
            <v>Digimap</v>
          </cell>
          <cell r="C231" t="str">
            <v>Digimap</v>
          </cell>
          <cell r="D231" t="str">
            <v>Zein</v>
          </cell>
          <cell r="E231" t="str">
            <v>Hendra Al Aziz</v>
          </cell>
          <cell r="F231" t="str">
            <v>Rizal</v>
          </cell>
        </row>
        <row r="232">
          <cell r="A232" t="str">
            <v>Trans Icon Surabaya</v>
          </cell>
          <cell r="B232" t="str">
            <v>Digimap</v>
          </cell>
          <cell r="C232" t="str">
            <v>Digimap</v>
          </cell>
          <cell r="D232" t="str">
            <v>Sigit</v>
          </cell>
          <cell r="E232" t="str">
            <v>Denisahri N. P</v>
          </cell>
          <cell r="F232" t="str">
            <v>Hari Suseno</v>
          </cell>
        </row>
        <row r="233">
          <cell r="A233" t="str">
            <v>Trans Studio Cibubur</v>
          </cell>
          <cell r="B233" t="str">
            <v>Digimap</v>
          </cell>
          <cell r="C233" t="str">
            <v>Digimap</v>
          </cell>
          <cell r="D233" t="str">
            <v>Arman</v>
          </cell>
          <cell r="E233" t="str">
            <v>Junaidi Ismail</v>
          </cell>
          <cell r="F233" t="str">
            <v>Rizqi Rudiansah</v>
          </cell>
        </row>
        <row r="234">
          <cell r="A234" t="str">
            <v>Trans Studio Mall Bandung</v>
          </cell>
          <cell r="B234" t="str">
            <v>Digimap</v>
          </cell>
          <cell r="C234" t="str">
            <v>Digimap</v>
          </cell>
          <cell r="D234" t="str">
            <v>Arif</v>
          </cell>
          <cell r="E234" t="str">
            <v>Junaidi Ismail</v>
          </cell>
          <cell r="F234" t="str">
            <v>Rahmat Depiyar</v>
          </cell>
        </row>
        <row r="235">
          <cell r="A235" t="str">
            <v>Tunjungan Plaza 3</v>
          </cell>
          <cell r="B235" t="str">
            <v>Digimap</v>
          </cell>
          <cell r="C235" t="str">
            <v>Digimap</v>
          </cell>
          <cell r="D235" t="str">
            <v>Yusuf</v>
          </cell>
          <cell r="E235" t="str">
            <v>Denisahri N. P</v>
          </cell>
          <cell r="F235" t="str">
            <v>Septania Fathorosi</v>
          </cell>
        </row>
        <row r="236">
          <cell r="A236" t="str">
            <v>Unimas District Sidoarjo</v>
          </cell>
          <cell r="B236" t="str">
            <v>Digimap</v>
          </cell>
          <cell r="C236" t="str">
            <v>Digimap</v>
          </cell>
          <cell r="D236" t="str">
            <v>Sigit</v>
          </cell>
          <cell r="E236" t="str">
            <v>Denisahri N. P</v>
          </cell>
          <cell r="F236" t="str">
            <v>Hari Suseno</v>
          </cell>
        </row>
        <row r="237">
          <cell r="A237" t="str">
            <v>WTC Jambi</v>
          </cell>
          <cell r="B237" t="str">
            <v>Digimap</v>
          </cell>
          <cell r="C237" t="str">
            <v>Digimap</v>
          </cell>
          <cell r="D237" t="str">
            <v>Ryan</v>
          </cell>
          <cell r="E237" t="str">
            <v>Hendra Al Aziz</v>
          </cell>
          <cell r="F237" t="str">
            <v>Eis Vindi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1"/>
  <sheetViews>
    <sheetView tabSelected="1" workbookViewId="0">
      <selection activeCell="D1" sqref="D1"/>
    </sheetView>
  </sheetViews>
  <sheetFormatPr defaultColWidth="8.88888888888889" defaultRowHeight="14.4"/>
  <cols>
    <col min="1" max="1" width="3.77777777777778" customWidth="1"/>
    <col min="2" max="2" width="32.8888888888889" customWidth="1"/>
    <col min="3" max="4" width="7.11111111111111" customWidth="1"/>
    <col min="5" max="5" width="12.2222222222222" customWidth="1"/>
    <col min="6" max="6" width="15.6666666666667" customWidth="1"/>
    <col min="7" max="7" width="8.11111111111111" customWidth="1"/>
    <col min="8" max="11" width="9.33333333333333" customWidth="1"/>
    <col min="12" max="12" width="13.444444444444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s="1">
        <v>53</v>
      </c>
      <c r="B2" s="3" t="s">
        <v>12</v>
      </c>
      <c r="C2" s="1" t="s">
        <v>13</v>
      </c>
      <c r="D2" s="1" t="s">
        <v>14</v>
      </c>
      <c r="E2" s="4" t="str" cm="1">
        <f t="array" ref="E2:E231">VLOOKUP($B$2:$B$231,[1]Sheet1!$A$2:$F$237,4,0)</f>
        <v>Aditya</v>
      </c>
      <c r="F2" s="4" t="str" cm="1">
        <f t="array" ref="F2:F231">VLOOKUP($B$2:$B$231,[1]Sheet1!$A$2:$F$237,5,0)</f>
        <v>Denisahri N. P</v>
      </c>
      <c r="G2" s="4" t="str" cm="1">
        <f t="array" ref="G2:G231">VLOOKUP($B$2:$B$231,[1]Sheet1!$A$2:$F$237,6,0)</f>
        <v>Kartini</v>
      </c>
      <c r="H2" s="5">
        <v>16000000</v>
      </c>
      <c r="I2" s="5">
        <v>20000000</v>
      </c>
      <c r="J2" s="5">
        <v>20000000</v>
      </c>
      <c r="K2" s="5">
        <v>20000000</v>
      </c>
      <c r="L2" s="6">
        <f t="shared" ref="L2:L65" si="0">SUM(H2:K2)</f>
        <v>76000000</v>
      </c>
    </row>
    <row r="3" spans="1:12">
      <c r="A3" s="1">
        <v>59</v>
      </c>
      <c r="B3" s="3" t="s">
        <v>15</v>
      </c>
      <c r="C3" s="1" t="s">
        <v>13</v>
      </c>
      <c r="D3" s="1" t="s">
        <v>14</v>
      </c>
      <c r="E3" s="4" t="str">
        <v>Aditya</v>
      </c>
      <c r="F3" s="4" t="str">
        <v>Denisahri N. P</v>
      </c>
      <c r="G3" s="4" t="str">
        <v>Kartini</v>
      </c>
      <c r="H3" s="5">
        <v>16000000</v>
      </c>
      <c r="I3" s="5">
        <v>20000000</v>
      </c>
      <c r="J3" s="5">
        <v>20000000</v>
      </c>
      <c r="K3" s="5">
        <v>20000000</v>
      </c>
      <c r="L3" s="6">
        <f t="shared" si="0"/>
        <v>76000000</v>
      </c>
    </row>
    <row r="4" spans="1:12">
      <c r="A4" s="1">
        <v>66</v>
      </c>
      <c r="B4" s="3" t="s">
        <v>16</v>
      </c>
      <c r="C4" s="1" t="s">
        <v>13</v>
      </c>
      <c r="D4" s="1" t="s">
        <v>14</v>
      </c>
      <c r="E4" s="4" t="str">
        <v>Aditya</v>
      </c>
      <c r="F4" s="4" t="str">
        <v>Denisahri N. P</v>
      </c>
      <c r="G4" s="4" t="str">
        <v>Kartini</v>
      </c>
      <c r="H4" s="5">
        <v>16000000</v>
      </c>
      <c r="I4" s="5">
        <v>20000000</v>
      </c>
      <c r="J4" s="5">
        <v>20000000</v>
      </c>
      <c r="K4" s="5">
        <v>20000000</v>
      </c>
      <c r="L4" s="6">
        <f t="shared" si="0"/>
        <v>76000000</v>
      </c>
    </row>
    <row r="5" spans="1:12">
      <c r="A5" s="1">
        <v>85</v>
      </c>
      <c r="B5" s="3" t="s">
        <v>17</v>
      </c>
      <c r="C5" s="1" t="s">
        <v>13</v>
      </c>
      <c r="D5" s="1" t="s">
        <v>14</v>
      </c>
      <c r="E5" s="4" t="str">
        <v>Aditya</v>
      </c>
      <c r="F5" s="4" t="str">
        <v>Denisahri N. P</v>
      </c>
      <c r="G5" s="4" t="str">
        <v>Kartini</v>
      </c>
      <c r="H5" s="5">
        <v>55000000</v>
      </c>
      <c r="I5" s="5">
        <v>55000000</v>
      </c>
      <c r="J5" s="5">
        <v>60000000</v>
      </c>
      <c r="K5" s="5">
        <v>60000000</v>
      </c>
      <c r="L5" s="6">
        <f t="shared" si="0"/>
        <v>230000000</v>
      </c>
    </row>
    <row r="6" spans="1:12">
      <c r="A6" s="1">
        <v>88</v>
      </c>
      <c r="B6" s="3" t="s">
        <v>18</v>
      </c>
      <c r="C6" s="1" t="s">
        <v>13</v>
      </c>
      <c r="D6" s="1" t="s">
        <v>14</v>
      </c>
      <c r="E6" s="4" t="str">
        <v>Aditya</v>
      </c>
      <c r="F6" s="4" t="str">
        <v>Denisahri N. P</v>
      </c>
      <c r="G6" s="4" t="str">
        <v>Kartini</v>
      </c>
      <c r="H6" s="5">
        <v>30000000</v>
      </c>
      <c r="I6" s="5">
        <v>40000000</v>
      </c>
      <c r="J6" s="5">
        <v>45000000</v>
      </c>
      <c r="K6" s="5">
        <v>45000000</v>
      </c>
      <c r="L6" s="6">
        <f t="shared" si="0"/>
        <v>160000000</v>
      </c>
    </row>
    <row r="7" spans="1:12">
      <c r="A7" s="1">
        <v>93</v>
      </c>
      <c r="B7" s="1" t="s">
        <v>19</v>
      </c>
      <c r="C7" s="1" t="s">
        <v>13</v>
      </c>
      <c r="D7" s="1" t="s">
        <v>14</v>
      </c>
      <c r="E7" s="4" t="str">
        <v>Aditya</v>
      </c>
      <c r="F7" s="4" t="str">
        <v>Denisahri N. P</v>
      </c>
      <c r="G7" s="4" t="str">
        <v>Kartini</v>
      </c>
      <c r="H7" s="5">
        <v>40000000</v>
      </c>
      <c r="I7" s="5">
        <v>45000000</v>
      </c>
      <c r="J7" s="5">
        <v>50000000</v>
      </c>
      <c r="K7" s="5">
        <v>50000000</v>
      </c>
      <c r="L7" s="6">
        <f t="shared" si="0"/>
        <v>185000000</v>
      </c>
    </row>
    <row r="8" spans="1:12">
      <c r="A8" s="1">
        <v>99</v>
      </c>
      <c r="B8" s="3" t="s">
        <v>20</v>
      </c>
      <c r="C8" s="1" t="s">
        <v>13</v>
      </c>
      <c r="D8" s="1" t="s">
        <v>14</v>
      </c>
      <c r="E8" s="4" t="str">
        <v>Aditya</v>
      </c>
      <c r="F8" s="4" t="str">
        <v>Denisahri N. P</v>
      </c>
      <c r="G8" s="4" t="str">
        <v>Kartini</v>
      </c>
      <c r="H8" s="5">
        <v>25000000</v>
      </c>
      <c r="I8" s="5">
        <v>45000000</v>
      </c>
      <c r="J8" s="5">
        <v>45000000</v>
      </c>
      <c r="K8" s="5">
        <v>50000000</v>
      </c>
      <c r="L8" s="6">
        <f t="shared" si="0"/>
        <v>165000000</v>
      </c>
    </row>
    <row r="9" spans="1:12">
      <c r="A9" s="1">
        <v>100</v>
      </c>
      <c r="B9" s="3" t="s">
        <v>21</v>
      </c>
      <c r="C9" s="1" t="s">
        <v>13</v>
      </c>
      <c r="D9" s="1" t="s">
        <v>14</v>
      </c>
      <c r="E9" s="4" t="str">
        <v>Aditya</v>
      </c>
      <c r="F9" s="4" t="str">
        <v>Denisahri N. P</v>
      </c>
      <c r="G9" s="4" t="str">
        <v>Kartini</v>
      </c>
      <c r="H9" s="5">
        <v>20000000</v>
      </c>
      <c r="I9" s="5">
        <v>25000000</v>
      </c>
      <c r="J9" s="5">
        <v>30000000</v>
      </c>
      <c r="K9" s="5">
        <v>30000000</v>
      </c>
      <c r="L9" s="6">
        <f t="shared" si="0"/>
        <v>105000000</v>
      </c>
    </row>
    <row r="10" spans="1:12">
      <c r="A10" s="1">
        <v>118</v>
      </c>
      <c r="B10" s="1" t="s">
        <v>22</v>
      </c>
      <c r="C10" s="1" t="s">
        <v>13</v>
      </c>
      <c r="D10" s="1" t="s">
        <v>14</v>
      </c>
      <c r="E10" s="4" t="str">
        <v>Aditya</v>
      </c>
      <c r="F10" s="4" t="str">
        <v>Denisahri N. P</v>
      </c>
      <c r="G10" s="4" t="str">
        <v>Kartini</v>
      </c>
      <c r="H10" s="5">
        <v>50000000</v>
      </c>
      <c r="I10" s="5">
        <v>65000000</v>
      </c>
      <c r="J10" s="5">
        <v>65000000</v>
      </c>
      <c r="K10" s="5">
        <v>65000000</v>
      </c>
      <c r="L10" s="6">
        <f t="shared" si="0"/>
        <v>245000000</v>
      </c>
    </row>
    <row r="11" spans="1:12">
      <c r="A11" s="1">
        <v>124</v>
      </c>
      <c r="B11" s="1" t="s">
        <v>23</v>
      </c>
      <c r="C11" s="1" t="s">
        <v>13</v>
      </c>
      <c r="D11" s="1" t="s">
        <v>14</v>
      </c>
      <c r="E11" s="4" t="str">
        <v>Aditya</v>
      </c>
      <c r="F11" s="4" t="str">
        <v>Denisahri N. P</v>
      </c>
      <c r="G11" s="4" t="str">
        <v>Kartini</v>
      </c>
      <c r="H11" s="5">
        <v>16000000</v>
      </c>
      <c r="I11" s="5">
        <v>18000000</v>
      </c>
      <c r="J11" s="5">
        <v>18000000</v>
      </c>
      <c r="K11" s="5">
        <v>20000000</v>
      </c>
      <c r="L11" s="6">
        <f t="shared" si="0"/>
        <v>72000000</v>
      </c>
    </row>
    <row r="12" spans="1:12">
      <c r="A12" s="1">
        <v>125</v>
      </c>
      <c r="B12" s="3" t="s">
        <v>24</v>
      </c>
      <c r="C12" s="1" t="s">
        <v>13</v>
      </c>
      <c r="D12" s="1" t="s">
        <v>14</v>
      </c>
      <c r="E12" s="4" t="str">
        <v>Aditya</v>
      </c>
      <c r="F12" s="4" t="str">
        <v>Denisahri N. P</v>
      </c>
      <c r="G12" s="4" t="str">
        <v>Kartini</v>
      </c>
      <c r="H12" s="5">
        <v>16000000</v>
      </c>
      <c r="I12" s="5">
        <v>18000000</v>
      </c>
      <c r="J12" s="5">
        <v>18000000</v>
      </c>
      <c r="K12" s="5">
        <v>20000000</v>
      </c>
      <c r="L12" s="6">
        <f t="shared" si="0"/>
        <v>72000000</v>
      </c>
    </row>
    <row r="13" spans="1:12">
      <c r="A13" s="1">
        <v>193</v>
      </c>
      <c r="B13" s="1" t="s">
        <v>25</v>
      </c>
      <c r="C13" s="1" t="s">
        <v>13</v>
      </c>
      <c r="D13" s="1" t="s">
        <v>14</v>
      </c>
      <c r="E13" s="4" t="str">
        <v>Aditya</v>
      </c>
      <c r="F13" s="4" t="str">
        <v>Denisahri N. P</v>
      </c>
      <c r="G13" s="4" t="str">
        <v>Kartini</v>
      </c>
      <c r="H13" s="5">
        <v>16000000</v>
      </c>
      <c r="I13" s="5">
        <v>20000000</v>
      </c>
      <c r="J13" s="5">
        <v>20000000</v>
      </c>
      <c r="K13" s="5">
        <v>20000000</v>
      </c>
      <c r="L13" s="6">
        <f t="shared" si="0"/>
        <v>76000000</v>
      </c>
    </row>
    <row r="14" spans="1:12">
      <c r="A14" s="1">
        <v>195</v>
      </c>
      <c r="B14" s="1" t="s">
        <v>26</v>
      </c>
      <c r="C14" s="1" t="s">
        <v>13</v>
      </c>
      <c r="D14" s="1" t="s">
        <v>14</v>
      </c>
      <c r="E14" s="4" t="str">
        <v>Aditya</v>
      </c>
      <c r="F14" s="4" t="str">
        <v>Denisahri N. P</v>
      </c>
      <c r="G14" s="4" t="str">
        <v>Kartini</v>
      </c>
      <c r="H14" s="5">
        <v>16000000</v>
      </c>
      <c r="I14" s="5">
        <v>20000000</v>
      </c>
      <c r="J14" s="5">
        <v>20000000</v>
      </c>
      <c r="K14" s="5">
        <v>20000000</v>
      </c>
      <c r="L14" s="6">
        <f t="shared" si="0"/>
        <v>76000000</v>
      </c>
    </row>
    <row r="15" spans="1:12">
      <c r="A15" s="1">
        <v>204</v>
      </c>
      <c r="B15" s="3" t="s">
        <v>27</v>
      </c>
      <c r="C15" s="1" t="s">
        <v>13</v>
      </c>
      <c r="D15" s="1" t="s">
        <v>14</v>
      </c>
      <c r="E15" s="4" t="str">
        <v>Aditya</v>
      </c>
      <c r="F15" s="4" t="str">
        <v>Denisahri N. P</v>
      </c>
      <c r="G15" s="4" t="str">
        <v>Kartini</v>
      </c>
      <c r="H15" s="5">
        <v>16000000</v>
      </c>
      <c r="I15" s="5">
        <v>20000000</v>
      </c>
      <c r="J15" s="5">
        <v>20000000</v>
      </c>
      <c r="K15" s="5">
        <v>20000000</v>
      </c>
      <c r="L15" s="6">
        <f t="shared" si="0"/>
        <v>76000000</v>
      </c>
    </row>
    <row r="16" spans="1:12">
      <c r="A16" s="1">
        <v>30</v>
      </c>
      <c r="B16" s="3" t="s">
        <v>28</v>
      </c>
      <c r="C16" s="1" t="s">
        <v>13</v>
      </c>
      <c r="D16" s="1" t="s">
        <v>29</v>
      </c>
      <c r="E16" s="4" t="str">
        <v>Amiril</v>
      </c>
      <c r="F16" s="5" t="str">
        <v>Denisahri N. P</v>
      </c>
      <c r="G16" s="4" t="str">
        <v>Eko Budi Setiawan</v>
      </c>
      <c r="H16" s="5">
        <v>16000000</v>
      </c>
      <c r="I16" s="5">
        <v>18000000</v>
      </c>
      <c r="J16" s="5">
        <v>18000000</v>
      </c>
      <c r="K16" s="5">
        <v>18000000</v>
      </c>
      <c r="L16" s="6">
        <f t="shared" si="0"/>
        <v>70000000</v>
      </c>
    </row>
    <row r="17" spans="1:12">
      <c r="A17" s="1">
        <v>31</v>
      </c>
      <c r="B17" s="3" t="s">
        <v>30</v>
      </c>
      <c r="C17" s="1" t="s">
        <v>13</v>
      </c>
      <c r="D17" s="1" t="s">
        <v>29</v>
      </c>
      <c r="E17" s="4" t="str">
        <v>Amiril</v>
      </c>
      <c r="F17" s="5" t="str">
        <v>Denisahri N. P</v>
      </c>
      <c r="G17" s="4" t="str">
        <v>Eko Budi Setiawan</v>
      </c>
      <c r="H17" s="5">
        <v>16000000</v>
      </c>
      <c r="I17" s="5">
        <v>18000000</v>
      </c>
      <c r="J17" s="5">
        <v>18000000</v>
      </c>
      <c r="K17" s="5">
        <v>18000000</v>
      </c>
      <c r="L17" s="6">
        <f t="shared" si="0"/>
        <v>70000000</v>
      </c>
    </row>
    <row r="18" spans="1:12">
      <c r="A18" s="1">
        <v>47</v>
      </c>
      <c r="B18" s="1" t="s">
        <v>31</v>
      </c>
      <c r="C18" s="1" t="s">
        <v>13</v>
      </c>
      <c r="D18" s="1" t="s">
        <v>29</v>
      </c>
      <c r="E18" s="4" t="str">
        <v>Amiril</v>
      </c>
      <c r="F18" s="5" t="str">
        <v>Denisahri N. P</v>
      </c>
      <c r="G18" s="4" t="str">
        <v>Eko Budi Setiawan</v>
      </c>
      <c r="H18" s="5">
        <v>30000000</v>
      </c>
      <c r="I18" s="5">
        <v>35000000</v>
      </c>
      <c r="J18" s="5">
        <v>35000000</v>
      </c>
      <c r="K18" s="5">
        <v>40000000</v>
      </c>
      <c r="L18" s="6">
        <f t="shared" si="0"/>
        <v>140000000</v>
      </c>
    </row>
    <row r="19" spans="1:12">
      <c r="A19" s="1">
        <v>61</v>
      </c>
      <c r="B19" s="3" t="s">
        <v>32</v>
      </c>
      <c r="C19" s="1" t="s">
        <v>13</v>
      </c>
      <c r="D19" s="1" t="s">
        <v>29</v>
      </c>
      <c r="E19" s="4" t="str">
        <v>Amiril</v>
      </c>
      <c r="F19" s="5" t="str">
        <v>Denisahri N. P</v>
      </c>
      <c r="G19" s="4" t="str">
        <v>Eko Budi Setiawan</v>
      </c>
      <c r="H19" s="5">
        <v>20000000</v>
      </c>
      <c r="I19" s="5">
        <v>30000000</v>
      </c>
      <c r="J19" s="5">
        <v>30000000</v>
      </c>
      <c r="K19" s="5">
        <v>30000000</v>
      </c>
      <c r="L19" s="6">
        <f t="shared" si="0"/>
        <v>110000000</v>
      </c>
    </row>
    <row r="20" spans="1:12">
      <c r="A20" s="1">
        <v>64</v>
      </c>
      <c r="B20" s="5" t="s">
        <v>33</v>
      </c>
      <c r="C20" s="1" t="s">
        <v>13</v>
      </c>
      <c r="D20" s="1" t="s">
        <v>29</v>
      </c>
      <c r="E20" s="4" t="str">
        <v>Amiril</v>
      </c>
      <c r="F20" s="5" t="str">
        <v>Denisahri N. P</v>
      </c>
      <c r="G20" s="4" t="str">
        <v>Eko Budi Setiawan</v>
      </c>
      <c r="H20" s="5">
        <v>20000000</v>
      </c>
      <c r="I20" s="5">
        <v>20000000</v>
      </c>
      <c r="J20" s="5">
        <v>25000000</v>
      </c>
      <c r="K20" s="5">
        <v>25000000</v>
      </c>
      <c r="L20" s="6">
        <f t="shared" si="0"/>
        <v>90000000</v>
      </c>
    </row>
    <row r="21" spans="1:12">
      <c r="A21" s="1">
        <v>69</v>
      </c>
      <c r="B21" s="3" t="s">
        <v>34</v>
      </c>
      <c r="C21" s="1" t="s">
        <v>13</v>
      </c>
      <c r="D21" s="1" t="s">
        <v>29</v>
      </c>
      <c r="E21" s="4" t="str">
        <v>Amiril</v>
      </c>
      <c r="F21" s="5" t="str">
        <v>Denisahri N. P</v>
      </c>
      <c r="G21" s="4" t="str">
        <v>Eko Budi Setiawan</v>
      </c>
      <c r="H21" s="5">
        <v>20000000</v>
      </c>
      <c r="I21" s="5">
        <v>20000000</v>
      </c>
      <c r="J21" s="5">
        <v>20000000</v>
      </c>
      <c r="K21" s="5">
        <v>20000000</v>
      </c>
      <c r="L21" s="6">
        <f t="shared" si="0"/>
        <v>80000000</v>
      </c>
    </row>
    <row r="22" spans="1:12">
      <c r="A22" s="1">
        <v>75</v>
      </c>
      <c r="B22" s="3" t="s">
        <v>35</v>
      </c>
      <c r="C22" s="1" t="s">
        <v>13</v>
      </c>
      <c r="D22" s="1" t="s">
        <v>29</v>
      </c>
      <c r="E22" s="4" t="str">
        <v>Amiril</v>
      </c>
      <c r="F22" s="5" t="str">
        <v>Denisahri N. P</v>
      </c>
      <c r="G22" s="4" t="str">
        <v>Eko Budi Setiawan</v>
      </c>
      <c r="H22" s="5">
        <v>16000000</v>
      </c>
      <c r="I22" s="5">
        <v>18000000</v>
      </c>
      <c r="J22" s="5">
        <v>18000000</v>
      </c>
      <c r="K22" s="5">
        <v>18000000</v>
      </c>
      <c r="L22" s="6">
        <f t="shared" si="0"/>
        <v>70000000</v>
      </c>
    </row>
    <row r="23" spans="1:12">
      <c r="A23" s="1">
        <v>94</v>
      </c>
      <c r="B23" s="3" t="s">
        <v>36</v>
      </c>
      <c r="C23" s="1" t="s">
        <v>13</v>
      </c>
      <c r="D23" s="1" t="s">
        <v>29</v>
      </c>
      <c r="E23" s="4" t="str">
        <v>Amiril</v>
      </c>
      <c r="F23" s="5" t="str">
        <v>Denisahri N. P</v>
      </c>
      <c r="G23" s="4" t="str">
        <v>Eko Budi Setiawan</v>
      </c>
      <c r="H23" s="5">
        <v>50000000</v>
      </c>
      <c r="I23" s="5">
        <v>55000000</v>
      </c>
      <c r="J23" s="5">
        <v>60000000</v>
      </c>
      <c r="K23" s="5">
        <v>65000000</v>
      </c>
      <c r="L23" s="6">
        <f t="shared" si="0"/>
        <v>230000000</v>
      </c>
    </row>
    <row r="24" spans="1:12">
      <c r="A24" s="1">
        <v>103</v>
      </c>
      <c r="B24" s="3" t="s">
        <v>37</v>
      </c>
      <c r="C24" s="1" t="s">
        <v>13</v>
      </c>
      <c r="D24" s="1" t="s">
        <v>29</v>
      </c>
      <c r="E24" s="4" t="str">
        <v>Amiril</v>
      </c>
      <c r="F24" s="5" t="str">
        <v>Denisahri N. P</v>
      </c>
      <c r="G24" s="4" t="str">
        <v>Eko Budi Setiawan</v>
      </c>
      <c r="H24" s="5">
        <v>16000000</v>
      </c>
      <c r="I24" s="5">
        <v>18000000</v>
      </c>
      <c r="J24" s="5">
        <v>20000000</v>
      </c>
      <c r="K24" s="5">
        <v>20000000</v>
      </c>
      <c r="L24" s="6">
        <f t="shared" si="0"/>
        <v>74000000</v>
      </c>
    </row>
    <row r="25" spans="1:12">
      <c r="A25" s="1">
        <v>105</v>
      </c>
      <c r="B25" s="3" t="s">
        <v>38</v>
      </c>
      <c r="C25" s="1" t="s">
        <v>13</v>
      </c>
      <c r="D25" s="1" t="s">
        <v>29</v>
      </c>
      <c r="E25" s="4" t="str">
        <v>Amiril</v>
      </c>
      <c r="F25" s="5" t="str">
        <v>Denisahri N. P</v>
      </c>
      <c r="G25" s="4" t="str">
        <v>Eko Budi Setiawan</v>
      </c>
      <c r="H25" s="5">
        <v>16000000</v>
      </c>
      <c r="I25" s="5">
        <v>18000000</v>
      </c>
      <c r="J25" s="5">
        <v>18000000</v>
      </c>
      <c r="K25" s="5">
        <v>18000000</v>
      </c>
      <c r="L25" s="6">
        <f t="shared" si="0"/>
        <v>70000000</v>
      </c>
    </row>
    <row r="26" spans="1:12">
      <c r="A26" s="1">
        <v>107</v>
      </c>
      <c r="B26" s="7" t="s">
        <v>39</v>
      </c>
      <c r="C26" s="1" t="s">
        <v>13</v>
      </c>
      <c r="D26" s="1" t="s">
        <v>29</v>
      </c>
      <c r="E26" s="4" t="str">
        <v>Amiril</v>
      </c>
      <c r="F26" s="5" t="str">
        <v>Denisahri N. P</v>
      </c>
      <c r="G26" s="4" t="str">
        <v>Eko Budi Setiawan</v>
      </c>
      <c r="H26" s="5">
        <v>16000000</v>
      </c>
      <c r="I26" s="5">
        <v>18000000</v>
      </c>
      <c r="J26" s="5">
        <v>18000000</v>
      </c>
      <c r="K26" s="5">
        <v>18000000</v>
      </c>
      <c r="L26" s="6">
        <f t="shared" si="0"/>
        <v>70000000</v>
      </c>
    </row>
    <row r="27" spans="1:12">
      <c r="A27" s="1">
        <v>112</v>
      </c>
      <c r="B27" s="3" t="s">
        <v>40</v>
      </c>
      <c r="C27" s="1" t="s">
        <v>13</v>
      </c>
      <c r="D27" s="1" t="s">
        <v>29</v>
      </c>
      <c r="E27" s="4" t="str">
        <v>Amiril</v>
      </c>
      <c r="F27" s="5" t="str">
        <v>Denisahri N. P</v>
      </c>
      <c r="G27" s="4" t="str">
        <v>Eko Budi Setiawan</v>
      </c>
      <c r="H27" s="5">
        <v>16000000</v>
      </c>
      <c r="I27" s="5">
        <v>18000000</v>
      </c>
      <c r="J27" s="5">
        <v>18000000</v>
      </c>
      <c r="K27" s="5">
        <v>18000000</v>
      </c>
      <c r="L27" s="6">
        <f t="shared" si="0"/>
        <v>70000000</v>
      </c>
    </row>
    <row r="28" spans="1:12">
      <c r="A28" s="1">
        <v>113</v>
      </c>
      <c r="B28" s="3" t="s">
        <v>41</v>
      </c>
      <c r="C28" s="1" t="s">
        <v>13</v>
      </c>
      <c r="D28" s="1" t="s">
        <v>29</v>
      </c>
      <c r="E28" s="4" t="str">
        <v>Amiril</v>
      </c>
      <c r="F28" s="5" t="str">
        <v>Denisahri N. P</v>
      </c>
      <c r="G28" s="4" t="str">
        <v>Eko Budi Setiawan</v>
      </c>
      <c r="H28" s="5">
        <v>20000000</v>
      </c>
      <c r="I28" s="5">
        <v>20000000</v>
      </c>
      <c r="J28" s="5">
        <v>20000000</v>
      </c>
      <c r="K28" s="5">
        <v>25000000</v>
      </c>
      <c r="L28" s="6">
        <f t="shared" si="0"/>
        <v>85000000</v>
      </c>
    </row>
    <row r="29" spans="1:12">
      <c r="A29" s="1">
        <v>126</v>
      </c>
      <c r="B29" s="3" t="s">
        <v>42</v>
      </c>
      <c r="C29" s="1" t="s">
        <v>13</v>
      </c>
      <c r="D29" s="1" t="s">
        <v>29</v>
      </c>
      <c r="E29" s="4" t="str">
        <v>Amiril</v>
      </c>
      <c r="F29" s="5" t="str">
        <v>Denisahri N. P</v>
      </c>
      <c r="G29" s="4" t="str">
        <v>Eko Budi Setiawan</v>
      </c>
      <c r="H29" s="5">
        <v>16000000</v>
      </c>
      <c r="I29" s="5">
        <v>18000000</v>
      </c>
      <c r="J29" s="5">
        <v>18000000</v>
      </c>
      <c r="K29" s="5">
        <v>18000000</v>
      </c>
      <c r="L29" s="6">
        <f t="shared" si="0"/>
        <v>70000000</v>
      </c>
    </row>
    <row r="30" spans="1:12">
      <c r="A30" s="1">
        <v>127</v>
      </c>
      <c r="B30" s="3" t="s">
        <v>43</v>
      </c>
      <c r="C30" s="1" t="s">
        <v>13</v>
      </c>
      <c r="D30" s="1" t="s">
        <v>29</v>
      </c>
      <c r="E30" s="4" t="str">
        <v>Amiril</v>
      </c>
      <c r="F30" s="5" t="str">
        <v>Denisahri N. P</v>
      </c>
      <c r="G30" s="4" t="str">
        <v>Eko Budi Setiawan</v>
      </c>
      <c r="H30" s="5">
        <v>16000000</v>
      </c>
      <c r="I30" s="5">
        <v>18000000</v>
      </c>
      <c r="J30" s="5">
        <v>18000000</v>
      </c>
      <c r="K30" s="5">
        <v>18000000</v>
      </c>
      <c r="L30" s="6">
        <f t="shared" si="0"/>
        <v>70000000</v>
      </c>
    </row>
    <row r="31" spans="1:12">
      <c r="A31" s="1">
        <v>191</v>
      </c>
      <c r="B31" s="3" t="s">
        <v>44</v>
      </c>
      <c r="C31" s="1" t="s">
        <v>13</v>
      </c>
      <c r="D31" s="1" t="s">
        <v>29</v>
      </c>
      <c r="E31" s="4" t="str">
        <v>Amiril</v>
      </c>
      <c r="F31" s="5" t="str">
        <v>Denisahri N. P</v>
      </c>
      <c r="G31" s="4" t="str">
        <v>Eko Budi Setiawan</v>
      </c>
      <c r="H31" s="5">
        <v>16000000</v>
      </c>
      <c r="I31" s="5">
        <v>18000000</v>
      </c>
      <c r="J31" s="5">
        <v>18000000</v>
      </c>
      <c r="K31" s="5">
        <v>18000000</v>
      </c>
      <c r="L31" s="6">
        <f t="shared" si="0"/>
        <v>70000000</v>
      </c>
    </row>
    <row r="32" spans="1:12">
      <c r="A32" s="1">
        <v>192</v>
      </c>
      <c r="B32" s="3" t="s">
        <v>45</v>
      </c>
      <c r="C32" s="1" t="s">
        <v>13</v>
      </c>
      <c r="D32" s="1" t="s">
        <v>29</v>
      </c>
      <c r="E32" s="4" t="str">
        <v>Amiril</v>
      </c>
      <c r="F32" s="5" t="str">
        <v>Denisahri N. P</v>
      </c>
      <c r="G32" s="4" t="str">
        <v>Eko Budi Setiawan</v>
      </c>
      <c r="H32" s="5">
        <v>16000000</v>
      </c>
      <c r="I32" s="5">
        <v>18000000</v>
      </c>
      <c r="J32" s="5">
        <v>18000000</v>
      </c>
      <c r="K32" s="5">
        <v>18000000</v>
      </c>
      <c r="L32" s="6">
        <f t="shared" si="0"/>
        <v>70000000</v>
      </c>
    </row>
    <row r="33" spans="1:12">
      <c r="A33" s="1">
        <v>29</v>
      </c>
      <c r="B33" s="3" t="s">
        <v>46</v>
      </c>
      <c r="C33" s="1" t="s">
        <v>13</v>
      </c>
      <c r="D33" s="1" t="s">
        <v>14</v>
      </c>
      <c r="E33" s="4" t="str">
        <v>Andri</v>
      </c>
      <c r="F33" s="5" t="str">
        <v>Denisahri N. P</v>
      </c>
      <c r="G33" s="4" t="str">
        <v>Abdul Rahman</v>
      </c>
      <c r="H33" s="5">
        <v>25000000</v>
      </c>
      <c r="I33" s="5">
        <v>35000000</v>
      </c>
      <c r="J33" s="5">
        <v>35000000</v>
      </c>
      <c r="K33" s="5">
        <v>35000000</v>
      </c>
      <c r="L33" s="6">
        <f t="shared" si="0"/>
        <v>130000000</v>
      </c>
    </row>
    <row r="34" spans="1:12">
      <c r="A34" s="1">
        <v>39</v>
      </c>
      <c r="B34" s="3" t="s">
        <v>47</v>
      </c>
      <c r="C34" s="1" t="s">
        <v>13</v>
      </c>
      <c r="D34" s="1" t="s">
        <v>14</v>
      </c>
      <c r="E34" s="4" t="str">
        <v>Andri</v>
      </c>
      <c r="F34" s="4" t="str">
        <v>Denisahri N. P</v>
      </c>
      <c r="G34" s="4" t="str">
        <v>Abdul Rahman</v>
      </c>
      <c r="H34" s="5">
        <v>20000000</v>
      </c>
      <c r="I34" s="5">
        <v>20000000</v>
      </c>
      <c r="J34" s="5">
        <v>28000000</v>
      </c>
      <c r="K34" s="5">
        <v>30000000</v>
      </c>
      <c r="L34" s="6">
        <f t="shared" si="0"/>
        <v>98000000</v>
      </c>
    </row>
    <row r="35" spans="1:12">
      <c r="A35" s="1">
        <v>58</v>
      </c>
      <c r="B35" s="3" t="s">
        <v>48</v>
      </c>
      <c r="C35" s="1" t="s">
        <v>13</v>
      </c>
      <c r="D35" s="1" t="s">
        <v>14</v>
      </c>
      <c r="E35" s="4" t="str">
        <v>Andri</v>
      </c>
      <c r="F35" s="5" t="str">
        <v>Denisahri N. P</v>
      </c>
      <c r="G35" s="4" t="str">
        <v>Abdul Rahman</v>
      </c>
      <c r="H35" s="5">
        <v>85000000</v>
      </c>
      <c r="I35" s="5">
        <v>120000000</v>
      </c>
      <c r="J35" s="5">
        <v>130000000</v>
      </c>
      <c r="K35" s="5">
        <v>135000000</v>
      </c>
      <c r="L35" s="6">
        <f t="shared" si="0"/>
        <v>470000000</v>
      </c>
    </row>
    <row r="36" spans="1:12">
      <c r="A36" s="1">
        <v>65</v>
      </c>
      <c r="B36" s="3" t="s">
        <v>49</v>
      </c>
      <c r="C36" s="1" t="s">
        <v>13</v>
      </c>
      <c r="D36" s="1" t="s">
        <v>14</v>
      </c>
      <c r="E36" s="4" t="str">
        <v>Andri</v>
      </c>
      <c r="F36" s="4" t="str">
        <v>Denisahri N. P</v>
      </c>
      <c r="G36" s="4" t="str">
        <v>Abdul Rahman</v>
      </c>
      <c r="H36" s="5">
        <v>85000000</v>
      </c>
      <c r="I36" s="5">
        <v>110000000</v>
      </c>
      <c r="J36" s="5">
        <v>115000000</v>
      </c>
      <c r="K36" s="5">
        <v>120000000</v>
      </c>
      <c r="L36" s="6">
        <f t="shared" si="0"/>
        <v>430000000</v>
      </c>
    </row>
    <row r="37" spans="1:12">
      <c r="A37" s="1">
        <v>72</v>
      </c>
      <c r="B37" s="3" t="s">
        <v>50</v>
      </c>
      <c r="C37" s="1" t="s">
        <v>13</v>
      </c>
      <c r="D37" s="1" t="s">
        <v>14</v>
      </c>
      <c r="E37" s="4" t="str">
        <v>Andri</v>
      </c>
      <c r="F37" s="4" t="str">
        <v>Denisahri N. P</v>
      </c>
      <c r="G37" s="4" t="str">
        <v>Abdul Rahman</v>
      </c>
      <c r="H37" s="5">
        <v>16000000</v>
      </c>
      <c r="I37" s="5">
        <v>25000000</v>
      </c>
      <c r="J37" s="5">
        <v>25000000</v>
      </c>
      <c r="K37" s="5">
        <v>25000000</v>
      </c>
      <c r="L37" s="6">
        <f t="shared" si="0"/>
        <v>91000000</v>
      </c>
    </row>
    <row r="38" spans="1:12">
      <c r="A38" s="1">
        <v>77</v>
      </c>
      <c r="B38" s="1" t="s">
        <v>51</v>
      </c>
      <c r="C38" s="1" t="s">
        <v>13</v>
      </c>
      <c r="D38" s="1" t="s">
        <v>14</v>
      </c>
      <c r="E38" s="4" t="str">
        <v>Andri</v>
      </c>
      <c r="F38" s="5" t="str">
        <v>Denisahri N. P</v>
      </c>
      <c r="G38" s="4" t="str">
        <v>Abdul Rahman</v>
      </c>
      <c r="H38" s="5">
        <v>40000000</v>
      </c>
      <c r="I38" s="5">
        <v>50000000</v>
      </c>
      <c r="J38" s="5">
        <v>55000000</v>
      </c>
      <c r="K38" s="5">
        <v>55000000</v>
      </c>
      <c r="L38" s="6">
        <f t="shared" si="0"/>
        <v>200000000</v>
      </c>
    </row>
    <row r="39" spans="1:12">
      <c r="A39" s="1">
        <v>79</v>
      </c>
      <c r="B39" s="3" t="s">
        <v>52</v>
      </c>
      <c r="C39" s="1" t="s">
        <v>13</v>
      </c>
      <c r="D39" s="1" t="s">
        <v>14</v>
      </c>
      <c r="E39" s="4" t="str">
        <v>Andri</v>
      </c>
      <c r="F39" s="4" t="str">
        <v>Denisahri N. P</v>
      </c>
      <c r="G39" s="4" t="str">
        <v>Abdul Rahman</v>
      </c>
      <c r="H39" s="5">
        <v>16000000</v>
      </c>
      <c r="I39" s="5">
        <v>18000000</v>
      </c>
      <c r="J39" s="5">
        <v>20000000</v>
      </c>
      <c r="K39" s="5">
        <v>20000000</v>
      </c>
      <c r="L39" s="6">
        <f t="shared" si="0"/>
        <v>74000000</v>
      </c>
    </row>
    <row r="40" spans="1:12">
      <c r="A40" s="1">
        <v>89</v>
      </c>
      <c r="B40" s="3" t="s">
        <v>53</v>
      </c>
      <c r="C40" s="1" t="s">
        <v>13</v>
      </c>
      <c r="D40" s="1" t="s">
        <v>14</v>
      </c>
      <c r="E40" s="4" t="str">
        <v>Andri</v>
      </c>
      <c r="F40" s="4" t="str">
        <v>Denisahri N. P</v>
      </c>
      <c r="G40" s="4" t="str">
        <v>Abdul Rahman</v>
      </c>
      <c r="H40" s="5">
        <v>20000000</v>
      </c>
      <c r="I40" s="5">
        <v>25000000</v>
      </c>
      <c r="J40" s="5">
        <v>25000000</v>
      </c>
      <c r="K40" s="5">
        <v>25000000</v>
      </c>
      <c r="L40" s="6">
        <f t="shared" si="0"/>
        <v>95000000</v>
      </c>
    </row>
    <row r="41" spans="1:12">
      <c r="A41" s="1">
        <v>119</v>
      </c>
      <c r="B41" s="1" t="s">
        <v>54</v>
      </c>
      <c r="C41" s="1" t="s">
        <v>13</v>
      </c>
      <c r="D41" s="1" t="s">
        <v>14</v>
      </c>
      <c r="E41" s="4" t="str">
        <v>Andri</v>
      </c>
      <c r="F41" s="5" t="str">
        <v>Denisahri N. P</v>
      </c>
      <c r="G41" s="4" t="str">
        <v>Abdul Rahman</v>
      </c>
      <c r="H41" s="5">
        <v>45000000</v>
      </c>
      <c r="I41" s="5">
        <v>60000000</v>
      </c>
      <c r="J41" s="5">
        <v>65000000</v>
      </c>
      <c r="K41" s="5">
        <v>65000000</v>
      </c>
      <c r="L41" s="6">
        <f t="shared" si="0"/>
        <v>235000000</v>
      </c>
    </row>
    <row r="42" spans="1:12">
      <c r="A42" s="1">
        <v>175</v>
      </c>
      <c r="B42" s="3" t="s">
        <v>55</v>
      </c>
      <c r="C42" s="1" t="s">
        <v>13</v>
      </c>
      <c r="D42" s="1" t="s">
        <v>14</v>
      </c>
      <c r="E42" s="4" t="str">
        <v>Andri</v>
      </c>
      <c r="F42" s="5" t="str">
        <v>Denisahri N. P</v>
      </c>
      <c r="G42" s="4" t="str">
        <v>Abdul Rahman</v>
      </c>
      <c r="H42" s="5">
        <v>0</v>
      </c>
      <c r="I42" s="5"/>
      <c r="J42" s="5"/>
      <c r="K42" s="5"/>
      <c r="L42" s="6">
        <f t="shared" si="0"/>
        <v>0</v>
      </c>
    </row>
    <row r="43" spans="1:12">
      <c r="A43" s="1">
        <v>176</v>
      </c>
      <c r="B43" s="3" t="s">
        <v>56</v>
      </c>
      <c r="C43" s="1" t="s">
        <v>13</v>
      </c>
      <c r="D43" s="1" t="s">
        <v>14</v>
      </c>
      <c r="E43" s="4" t="str">
        <v>Andri</v>
      </c>
      <c r="F43" s="5" t="str">
        <v>Denisahri N. P</v>
      </c>
      <c r="G43" s="4" t="str">
        <v>Abdul Rahman</v>
      </c>
      <c r="H43" s="5">
        <v>0</v>
      </c>
      <c r="I43" s="5"/>
      <c r="J43" s="5"/>
      <c r="K43" s="5"/>
      <c r="L43" s="6">
        <f t="shared" si="0"/>
        <v>0</v>
      </c>
    </row>
    <row r="44" spans="1:12">
      <c r="A44" s="1">
        <v>201</v>
      </c>
      <c r="B44" s="3" t="s">
        <v>57</v>
      </c>
      <c r="C44" s="1" t="s">
        <v>13</v>
      </c>
      <c r="D44" s="1" t="s">
        <v>14</v>
      </c>
      <c r="E44" s="4" t="str">
        <v>Andri</v>
      </c>
      <c r="F44" s="5" t="str">
        <v>Denisahri N. P</v>
      </c>
      <c r="G44" s="4" t="str">
        <v>Abdul Rahman</v>
      </c>
      <c r="H44" s="5">
        <v>16000000</v>
      </c>
      <c r="I44" s="5">
        <v>25000000</v>
      </c>
      <c r="J44" s="5">
        <v>30000000</v>
      </c>
      <c r="K44" s="5">
        <v>25000000</v>
      </c>
      <c r="L44" s="6">
        <f t="shared" si="0"/>
        <v>96000000</v>
      </c>
    </row>
    <row r="45" spans="1:12">
      <c r="A45" s="1">
        <v>202</v>
      </c>
      <c r="B45" s="3" t="s">
        <v>58</v>
      </c>
      <c r="C45" s="1" t="s">
        <v>13</v>
      </c>
      <c r="D45" s="1" t="s">
        <v>14</v>
      </c>
      <c r="E45" s="4" t="str">
        <v>Andri</v>
      </c>
      <c r="F45" s="5" t="str">
        <v>Denisahri N. P</v>
      </c>
      <c r="G45" s="4" t="str">
        <v>Abdul Rahman</v>
      </c>
      <c r="H45" s="5">
        <v>16000000</v>
      </c>
      <c r="I45" s="5">
        <v>24000000</v>
      </c>
      <c r="J45" s="5">
        <v>30000000</v>
      </c>
      <c r="K45" s="5">
        <v>30000000</v>
      </c>
      <c r="L45" s="6">
        <f t="shared" si="0"/>
        <v>100000000</v>
      </c>
    </row>
    <row r="46" spans="1:12">
      <c r="A46" s="1">
        <v>205</v>
      </c>
      <c r="B46" s="3" t="s">
        <v>59</v>
      </c>
      <c r="C46" s="1" t="s">
        <v>13</v>
      </c>
      <c r="D46" s="1" t="s">
        <v>14</v>
      </c>
      <c r="E46" s="4" t="str">
        <v>Andri</v>
      </c>
      <c r="F46" s="4" t="str">
        <v>Denisahri N. P</v>
      </c>
      <c r="G46" s="4" t="str">
        <v>Abdul Rahman</v>
      </c>
      <c r="H46" s="5">
        <v>16000000</v>
      </c>
      <c r="I46" s="5">
        <v>25000000</v>
      </c>
      <c r="J46" s="5">
        <v>30000000</v>
      </c>
      <c r="K46" s="5">
        <v>30000000</v>
      </c>
      <c r="L46" s="6">
        <f t="shared" si="0"/>
        <v>101000000</v>
      </c>
    </row>
    <row r="47" spans="1:12">
      <c r="A47" s="1">
        <v>206</v>
      </c>
      <c r="B47" s="3" t="s">
        <v>60</v>
      </c>
      <c r="C47" s="1" t="s">
        <v>13</v>
      </c>
      <c r="D47" s="1" t="s">
        <v>14</v>
      </c>
      <c r="E47" s="4" t="str">
        <v>Andri</v>
      </c>
      <c r="F47" s="5" t="str">
        <v>Denisahri N. P</v>
      </c>
      <c r="G47" s="4" t="str">
        <v>Abdul Rahman</v>
      </c>
      <c r="H47" s="5">
        <v>20000000</v>
      </c>
      <c r="I47" s="5">
        <v>30000000</v>
      </c>
      <c r="J47" s="5">
        <v>30000000</v>
      </c>
      <c r="K47" s="5">
        <v>32000000</v>
      </c>
      <c r="L47" s="6">
        <f t="shared" si="0"/>
        <v>112000000</v>
      </c>
    </row>
    <row r="48" spans="1:12">
      <c r="A48" s="1">
        <v>5</v>
      </c>
      <c r="B48" s="3" t="s">
        <v>61</v>
      </c>
      <c r="C48" s="1" t="s">
        <v>62</v>
      </c>
      <c r="D48" s="1" t="s">
        <v>63</v>
      </c>
      <c r="E48" s="4" t="str">
        <v>Arif</v>
      </c>
      <c r="F48" s="4" t="str">
        <v>Junaidi Ismail</v>
      </c>
      <c r="G48" s="4" t="str">
        <v>Rahmat Depiyar</v>
      </c>
      <c r="H48" s="5">
        <v>30000000</v>
      </c>
      <c r="I48" s="5">
        <v>30000000</v>
      </c>
      <c r="J48" s="5">
        <v>40000000</v>
      </c>
      <c r="K48" s="5">
        <v>40000000</v>
      </c>
      <c r="L48" s="6">
        <f t="shared" si="0"/>
        <v>140000000</v>
      </c>
    </row>
    <row r="49" spans="1:12">
      <c r="A49" s="1">
        <v>18</v>
      </c>
      <c r="B49" s="3" t="s">
        <v>64</v>
      </c>
      <c r="C49" s="1" t="s">
        <v>62</v>
      </c>
      <c r="D49" s="1" t="s">
        <v>63</v>
      </c>
      <c r="E49" s="4" t="str">
        <v>Arif</v>
      </c>
      <c r="F49" s="4" t="str">
        <v>Junaidi Ismail</v>
      </c>
      <c r="G49" s="4" t="str">
        <v>Rahmat Depiyar</v>
      </c>
      <c r="H49" s="5">
        <v>85000000</v>
      </c>
      <c r="I49" s="5">
        <v>95000000</v>
      </c>
      <c r="J49" s="5">
        <v>105000000</v>
      </c>
      <c r="K49" s="5">
        <v>105000000</v>
      </c>
      <c r="L49" s="6">
        <f t="shared" si="0"/>
        <v>390000000</v>
      </c>
    </row>
    <row r="50" spans="1:12">
      <c r="A50" s="1">
        <v>27</v>
      </c>
      <c r="B50" s="3" t="s">
        <v>65</v>
      </c>
      <c r="C50" s="1" t="s">
        <v>62</v>
      </c>
      <c r="D50" s="1" t="s">
        <v>63</v>
      </c>
      <c r="E50" s="4" t="str">
        <v>Arif</v>
      </c>
      <c r="F50" s="4" t="str">
        <v>Junaidi Ismail</v>
      </c>
      <c r="G50" s="4" t="str">
        <v>Rahmat Depiyar</v>
      </c>
      <c r="H50" s="5">
        <v>60000000</v>
      </c>
      <c r="I50" s="5">
        <v>70000000</v>
      </c>
      <c r="J50" s="5">
        <v>75000000</v>
      </c>
      <c r="K50" s="5">
        <v>80000000</v>
      </c>
      <c r="L50" s="6">
        <f t="shared" si="0"/>
        <v>285000000</v>
      </c>
    </row>
    <row r="51" spans="1:12">
      <c r="A51" s="1">
        <v>142</v>
      </c>
      <c r="B51" s="3" t="s">
        <v>66</v>
      </c>
      <c r="C51" s="1" t="s">
        <v>62</v>
      </c>
      <c r="D51" s="1" t="s">
        <v>63</v>
      </c>
      <c r="E51" s="4" t="str">
        <v>Arif</v>
      </c>
      <c r="F51" s="4" t="str">
        <v>Junaidi Ismail</v>
      </c>
      <c r="G51" s="4" t="str">
        <v>Rahmat Depiyar</v>
      </c>
      <c r="H51" s="5">
        <v>45000000</v>
      </c>
      <c r="I51" s="5">
        <v>55000000</v>
      </c>
      <c r="J51" s="5">
        <v>65000000</v>
      </c>
      <c r="K51" s="5">
        <v>70000000</v>
      </c>
      <c r="L51" s="6">
        <f t="shared" si="0"/>
        <v>235000000</v>
      </c>
    </row>
    <row r="52" spans="1:12">
      <c r="A52" s="1">
        <v>144</v>
      </c>
      <c r="B52" s="1" t="s">
        <v>67</v>
      </c>
      <c r="C52" s="1" t="s">
        <v>62</v>
      </c>
      <c r="D52" s="1" t="s">
        <v>63</v>
      </c>
      <c r="E52" s="4" t="str">
        <v>Arif</v>
      </c>
      <c r="F52" s="4" t="str">
        <v>Junaidi Ismail</v>
      </c>
      <c r="G52" s="4" t="str">
        <v>Rahmat Depiyar</v>
      </c>
      <c r="H52" s="5">
        <v>20000000</v>
      </c>
      <c r="I52" s="5">
        <v>25000000</v>
      </c>
      <c r="J52" s="5">
        <v>30000000</v>
      </c>
      <c r="K52" s="5">
        <v>35000000</v>
      </c>
      <c r="L52" s="6">
        <f t="shared" si="0"/>
        <v>110000000</v>
      </c>
    </row>
    <row r="53" spans="1:12">
      <c r="A53" s="1">
        <v>145</v>
      </c>
      <c r="B53" s="1" t="s">
        <v>68</v>
      </c>
      <c r="C53" s="1" t="s">
        <v>62</v>
      </c>
      <c r="D53" s="1" t="s">
        <v>63</v>
      </c>
      <c r="E53" s="4" t="str">
        <v>Arif</v>
      </c>
      <c r="F53" s="4" t="str">
        <v>Junaidi Ismail</v>
      </c>
      <c r="G53" s="4" t="str">
        <v>Rahmat Depiyar</v>
      </c>
      <c r="H53" s="5">
        <v>45000000</v>
      </c>
      <c r="I53" s="5">
        <v>55000000</v>
      </c>
      <c r="J53" s="5">
        <v>60000000</v>
      </c>
      <c r="K53" s="5">
        <v>70000000</v>
      </c>
      <c r="L53" s="6">
        <f t="shared" si="0"/>
        <v>230000000</v>
      </c>
    </row>
    <row r="54" spans="1:12">
      <c r="A54" s="1">
        <v>146</v>
      </c>
      <c r="B54" s="1" t="s">
        <v>69</v>
      </c>
      <c r="C54" s="1" t="s">
        <v>62</v>
      </c>
      <c r="D54" s="1" t="s">
        <v>63</v>
      </c>
      <c r="E54" s="4" t="str">
        <v>Arif</v>
      </c>
      <c r="F54" s="4" t="str">
        <v>Junaidi Ismail</v>
      </c>
      <c r="G54" s="4" t="str">
        <v>Rahmat Depiyar</v>
      </c>
      <c r="H54" s="5">
        <v>90000000</v>
      </c>
      <c r="I54" s="5">
        <v>95000000</v>
      </c>
      <c r="J54" s="5">
        <v>105000000</v>
      </c>
      <c r="K54" s="5">
        <v>105000000</v>
      </c>
      <c r="L54" s="6">
        <f t="shared" si="0"/>
        <v>395000000</v>
      </c>
    </row>
    <row r="55" spans="1:12">
      <c r="A55" s="1">
        <v>161</v>
      </c>
      <c r="B55" s="3" t="s">
        <v>70</v>
      </c>
      <c r="C55" s="1" t="s">
        <v>62</v>
      </c>
      <c r="D55" s="1" t="s">
        <v>63</v>
      </c>
      <c r="E55" s="4" t="str">
        <v>Arif</v>
      </c>
      <c r="F55" s="4" t="str">
        <v>Junaidi Ismail</v>
      </c>
      <c r="G55" s="4" t="str">
        <v>Rahmat Depiyar</v>
      </c>
      <c r="H55" s="5">
        <v>25000000</v>
      </c>
      <c r="I55" s="5">
        <v>35000000</v>
      </c>
      <c r="J55" s="5">
        <v>40000000</v>
      </c>
      <c r="K55" s="5">
        <v>45000000</v>
      </c>
      <c r="L55" s="6">
        <f t="shared" si="0"/>
        <v>145000000</v>
      </c>
    </row>
    <row r="56" spans="1:12">
      <c r="A56" s="1">
        <v>173</v>
      </c>
      <c r="B56" s="3" t="s">
        <v>71</v>
      </c>
      <c r="C56" s="1" t="s">
        <v>62</v>
      </c>
      <c r="D56" s="1" t="s">
        <v>63</v>
      </c>
      <c r="E56" s="4" t="str">
        <v>Arif</v>
      </c>
      <c r="F56" s="4" t="str">
        <v>Junaidi Ismail</v>
      </c>
      <c r="G56" s="4" t="str">
        <v>Rahmat Depiyar</v>
      </c>
      <c r="H56" s="5">
        <v>250000000</v>
      </c>
      <c r="I56" s="5">
        <v>275000000</v>
      </c>
      <c r="J56" s="5">
        <v>285000000</v>
      </c>
      <c r="K56" s="5">
        <v>290000000</v>
      </c>
      <c r="L56" s="6">
        <f t="shared" si="0"/>
        <v>1100000000</v>
      </c>
    </row>
    <row r="57" spans="1:12">
      <c r="A57" s="1">
        <v>212</v>
      </c>
      <c r="B57" s="1" t="s">
        <v>72</v>
      </c>
      <c r="C57" s="1" t="s">
        <v>62</v>
      </c>
      <c r="D57" s="1" t="s">
        <v>63</v>
      </c>
      <c r="E57" s="4" t="str">
        <v>Arif</v>
      </c>
      <c r="F57" s="4" t="str">
        <v>Junaidi Ismail</v>
      </c>
      <c r="G57" s="4" t="str">
        <v>Rahmat Depiyar</v>
      </c>
      <c r="H57" s="5">
        <v>35000000</v>
      </c>
      <c r="I57" s="5">
        <v>45000000</v>
      </c>
      <c r="J57" s="5">
        <v>50000000</v>
      </c>
      <c r="K57" s="5">
        <v>55000000</v>
      </c>
      <c r="L57" s="6">
        <f t="shared" si="0"/>
        <v>185000000</v>
      </c>
    </row>
    <row r="58" spans="1:12">
      <c r="A58" s="1">
        <v>223</v>
      </c>
      <c r="B58" s="3" t="s">
        <v>73</v>
      </c>
      <c r="C58" s="1" t="s">
        <v>62</v>
      </c>
      <c r="D58" s="1" t="s">
        <v>63</v>
      </c>
      <c r="E58" s="4" t="str">
        <v>Arif</v>
      </c>
      <c r="F58" s="4" t="str">
        <v>Junaidi Ismail</v>
      </c>
      <c r="G58" s="4" t="str">
        <v>Rahmat Depiyar</v>
      </c>
      <c r="H58" s="5">
        <v>35000000</v>
      </c>
      <c r="I58" s="5">
        <v>40000000</v>
      </c>
      <c r="J58" s="5">
        <v>45000000</v>
      </c>
      <c r="K58" s="5">
        <v>45000000</v>
      </c>
      <c r="L58" s="6">
        <f t="shared" si="0"/>
        <v>165000000</v>
      </c>
    </row>
    <row r="59" spans="1:12">
      <c r="A59" s="1">
        <v>227</v>
      </c>
      <c r="B59" s="3" t="s">
        <v>74</v>
      </c>
      <c r="C59" s="1" t="s">
        <v>62</v>
      </c>
      <c r="D59" s="1" t="s">
        <v>63</v>
      </c>
      <c r="E59" s="4" t="str">
        <v>Arif</v>
      </c>
      <c r="F59" s="4" t="str">
        <v>Junaidi Ismail</v>
      </c>
      <c r="G59" s="4" t="str">
        <v>Rahmat Depiyar</v>
      </c>
      <c r="H59" s="5">
        <v>120000000</v>
      </c>
      <c r="I59" s="5">
        <v>215000000</v>
      </c>
      <c r="J59" s="5">
        <v>225000000</v>
      </c>
      <c r="K59" s="5">
        <v>235000000</v>
      </c>
      <c r="L59" s="6">
        <f t="shared" si="0"/>
        <v>795000000</v>
      </c>
    </row>
    <row r="60" spans="1:12">
      <c r="A60" s="1">
        <v>1</v>
      </c>
      <c r="B60" s="3" t="s">
        <v>75</v>
      </c>
      <c r="C60" s="1" t="s">
        <v>62</v>
      </c>
      <c r="D60" s="1" t="s">
        <v>76</v>
      </c>
      <c r="E60" s="4" t="str">
        <v>Arman</v>
      </c>
      <c r="F60" s="4" t="str">
        <v>Junaidi Ismail</v>
      </c>
      <c r="G60" s="4" t="str">
        <v>Rizqi Rudiansah</v>
      </c>
      <c r="H60" s="5">
        <v>245000000</v>
      </c>
      <c r="I60" s="5">
        <v>255000000</v>
      </c>
      <c r="J60" s="5">
        <v>265000000</v>
      </c>
      <c r="K60" s="5">
        <v>285000000</v>
      </c>
      <c r="L60" s="6">
        <f t="shared" si="0"/>
        <v>1050000000</v>
      </c>
    </row>
    <row r="61" spans="1:12">
      <c r="A61" s="1">
        <v>2</v>
      </c>
      <c r="B61" s="3" t="s">
        <v>77</v>
      </c>
      <c r="C61" s="1" t="s">
        <v>62</v>
      </c>
      <c r="D61" s="1" t="s">
        <v>76</v>
      </c>
      <c r="E61" s="4" t="str">
        <v>Arman</v>
      </c>
      <c r="F61" s="4" t="str">
        <v>Junaidi Ismail</v>
      </c>
      <c r="G61" s="4" t="str">
        <v>Rizqi Rudiansah</v>
      </c>
      <c r="H61" s="5">
        <v>100000000</v>
      </c>
      <c r="I61" s="5">
        <v>110000000</v>
      </c>
      <c r="J61" s="5">
        <v>115000000</v>
      </c>
      <c r="K61" s="5">
        <v>120000000</v>
      </c>
      <c r="L61" s="6">
        <f t="shared" si="0"/>
        <v>445000000</v>
      </c>
    </row>
    <row r="62" spans="1:12">
      <c r="A62" s="1">
        <v>3</v>
      </c>
      <c r="B62" s="3" t="s">
        <v>78</v>
      </c>
      <c r="C62" s="1" t="s">
        <v>62</v>
      </c>
      <c r="D62" s="1" t="s">
        <v>76</v>
      </c>
      <c r="E62" s="4" t="str">
        <v>Arman</v>
      </c>
      <c r="F62" s="4" t="str">
        <v>Junaidi Ismail</v>
      </c>
      <c r="G62" s="4" t="str">
        <v>Rizqi Rudiansah</v>
      </c>
      <c r="H62" s="5">
        <v>125000000</v>
      </c>
      <c r="I62" s="5">
        <v>150000000</v>
      </c>
      <c r="J62" s="5">
        <v>155000000</v>
      </c>
      <c r="K62" s="5">
        <v>155000000</v>
      </c>
      <c r="L62" s="6">
        <f t="shared" si="0"/>
        <v>585000000</v>
      </c>
    </row>
    <row r="63" spans="1:12">
      <c r="A63" s="1">
        <v>25</v>
      </c>
      <c r="B63" s="3" t="s">
        <v>79</v>
      </c>
      <c r="C63" s="1" t="s">
        <v>62</v>
      </c>
      <c r="D63" s="1" t="s">
        <v>76</v>
      </c>
      <c r="E63" s="4" t="str">
        <v>Arman</v>
      </c>
      <c r="F63" s="4" t="str">
        <v>Junaidi Ismail</v>
      </c>
      <c r="G63" s="4" t="str">
        <v>Rizqi Rudiansah</v>
      </c>
      <c r="H63" s="5">
        <v>60000000</v>
      </c>
      <c r="I63" s="5">
        <v>70000000</v>
      </c>
      <c r="J63" s="5">
        <v>75000000</v>
      </c>
      <c r="K63" s="5">
        <v>80000000</v>
      </c>
      <c r="L63" s="6">
        <f t="shared" si="0"/>
        <v>285000000</v>
      </c>
    </row>
    <row r="64" spans="1:12">
      <c r="A64" s="1">
        <v>140</v>
      </c>
      <c r="B64" s="1" t="s">
        <v>80</v>
      </c>
      <c r="C64" s="1" t="s">
        <v>62</v>
      </c>
      <c r="D64" s="1" t="s">
        <v>76</v>
      </c>
      <c r="E64" s="4" t="str">
        <v>Arman</v>
      </c>
      <c r="F64" s="4" t="str">
        <v>Junaidi Ismail</v>
      </c>
      <c r="G64" s="4" t="str">
        <v>Rizqi Rudiansah</v>
      </c>
      <c r="H64" s="5">
        <v>60000000</v>
      </c>
      <c r="I64" s="5">
        <v>75000000</v>
      </c>
      <c r="J64" s="5">
        <v>85000000</v>
      </c>
      <c r="K64" s="5">
        <v>85000000</v>
      </c>
      <c r="L64" s="6">
        <f t="shared" si="0"/>
        <v>305000000</v>
      </c>
    </row>
    <row r="65" spans="1:12">
      <c r="A65" s="1">
        <v>153</v>
      </c>
      <c r="B65" s="3" t="s">
        <v>81</v>
      </c>
      <c r="C65" s="1" t="s">
        <v>62</v>
      </c>
      <c r="D65" s="1" t="s">
        <v>76</v>
      </c>
      <c r="E65" s="4" t="str">
        <v>Arman</v>
      </c>
      <c r="F65" s="4" t="str">
        <v>Junaidi Ismail</v>
      </c>
      <c r="G65" s="4" t="str">
        <v>Rizqi Rudiansah</v>
      </c>
      <c r="H65" s="5">
        <v>105000000</v>
      </c>
      <c r="I65" s="5">
        <v>120000000</v>
      </c>
      <c r="J65" s="5">
        <v>130000000</v>
      </c>
      <c r="K65" s="5">
        <v>130000000</v>
      </c>
      <c r="L65" s="6">
        <f t="shared" si="0"/>
        <v>485000000</v>
      </c>
    </row>
    <row r="66" spans="1:12">
      <c r="A66" s="1">
        <v>187</v>
      </c>
      <c r="B66" s="3" t="s">
        <v>82</v>
      </c>
      <c r="C66" s="1" t="s">
        <v>62</v>
      </c>
      <c r="D66" s="1" t="s">
        <v>76</v>
      </c>
      <c r="E66" s="4" t="str">
        <v>Arman</v>
      </c>
      <c r="F66" s="4" t="str">
        <v>Junaidi Ismail</v>
      </c>
      <c r="G66" s="4" t="str">
        <v>Rizqi Rudiansah</v>
      </c>
      <c r="H66" s="5">
        <v>70000000</v>
      </c>
      <c r="I66" s="5">
        <v>75000000</v>
      </c>
      <c r="J66" s="5">
        <v>80000000</v>
      </c>
      <c r="K66" s="5">
        <v>85000000</v>
      </c>
      <c r="L66" s="6">
        <f t="shared" ref="L66:L129" si="1">SUM(H66:K66)</f>
        <v>310000000</v>
      </c>
    </row>
    <row r="67" spans="1:12">
      <c r="A67" s="1">
        <v>210</v>
      </c>
      <c r="B67" s="3" t="s">
        <v>83</v>
      </c>
      <c r="C67" s="1" t="s">
        <v>62</v>
      </c>
      <c r="D67" s="1" t="s">
        <v>76</v>
      </c>
      <c r="E67" s="4" t="str">
        <v>Arman</v>
      </c>
      <c r="F67" s="4" t="str">
        <v>Junaidi Ismail</v>
      </c>
      <c r="G67" s="4" t="str">
        <v>Rizqi Rudiansah</v>
      </c>
      <c r="H67" s="5">
        <v>25000000</v>
      </c>
      <c r="I67" s="5">
        <v>35000000</v>
      </c>
      <c r="J67" s="5">
        <v>40000000</v>
      </c>
      <c r="K67" s="5">
        <v>45000000</v>
      </c>
      <c r="L67" s="6">
        <f t="shared" si="1"/>
        <v>145000000</v>
      </c>
    </row>
    <row r="68" spans="1:12">
      <c r="A68" s="1">
        <v>211</v>
      </c>
      <c r="B68" s="3" t="s">
        <v>84</v>
      </c>
      <c r="C68" s="1" t="s">
        <v>62</v>
      </c>
      <c r="D68" s="1" t="s">
        <v>76</v>
      </c>
      <c r="E68" s="4" t="str">
        <v>Arman</v>
      </c>
      <c r="F68" s="4" t="str">
        <v>Junaidi Ismail</v>
      </c>
      <c r="G68" s="4" t="str">
        <v>Rizqi Rudiansah</v>
      </c>
      <c r="H68" s="5">
        <v>25000000</v>
      </c>
      <c r="I68" s="5">
        <v>35000000</v>
      </c>
      <c r="J68" s="5">
        <v>40000000</v>
      </c>
      <c r="K68" s="5">
        <v>45000000</v>
      </c>
      <c r="L68" s="6">
        <f t="shared" si="1"/>
        <v>145000000</v>
      </c>
    </row>
    <row r="69" spans="1:12">
      <c r="A69" s="1">
        <v>216</v>
      </c>
      <c r="B69" s="3" t="s">
        <v>85</v>
      </c>
      <c r="C69" s="1" t="s">
        <v>62</v>
      </c>
      <c r="D69" s="1" t="s">
        <v>76</v>
      </c>
      <c r="E69" s="4" t="str">
        <v>Arman</v>
      </c>
      <c r="F69" s="4" t="str">
        <v>Junaidi Ismail</v>
      </c>
      <c r="G69" s="4" t="str">
        <v>Rizqi Rudiansah</v>
      </c>
      <c r="H69" s="5">
        <v>30000000</v>
      </c>
      <c r="I69" s="5">
        <v>45000000</v>
      </c>
      <c r="J69" s="5">
        <v>50000000</v>
      </c>
      <c r="K69" s="5">
        <v>60000000</v>
      </c>
      <c r="L69" s="6">
        <f t="shared" si="1"/>
        <v>185000000</v>
      </c>
    </row>
    <row r="70" spans="1:12">
      <c r="A70" s="1">
        <v>221</v>
      </c>
      <c r="B70" s="3" t="s">
        <v>86</v>
      </c>
      <c r="C70" s="1" t="s">
        <v>62</v>
      </c>
      <c r="D70" s="1" t="s">
        <v>76</v>
      </c>
      <c r="E70" s="4" t="str">
        <v>Arman</v>
      </c>
      <c r="F70" s="4" t="str">
        <v>Junaidi Ismail</v>
      </c>
      <c r="G70" s="4" t="str">
        <v>Rizqi Rudiansah</v>
      </c>
      <c r="H70" s="5">
        <v>315000000</v>
      </c>
      <c r="I70" s="5">
        <v>335000000</v>
      </c>
      <c r="J70" s="5">
        <v>350000000</v>
      </c>
      <c r="K70" s="5">
        <v>360000000</v>
      </c>
      <c r="L70" s="6">
        <f t="shared" si="1"/>
        <v>1360000000</v>
      </c>
    </row>
    <row r="71" spans="1:12">
      <c r="A71" s="1">
        <v>226</v>
      </c>
      <c r="B71" s="3" t="s">
        <v>87</v>
      </c>
      <c r="C71" s="1" t="s">
        <v>62</v>
      </c>
      <c r="D71" s="1" t="s">
        <v>76</v>
      </c>
      <c r="E71" s="4" t="str">
        <v>Arman</v>
      </c>
      <c r="F71" s="4" t="str">
        <v>Junaidi Ismail</v>
      </c>
      <c r="G71" s="4" t="str">
        <v>Rizqi Rudiansah</v>
      </c>
      <c r="H71" s="5">
        <v>100000000</v>
      </c>
      <c r="I71" s="5">
        <v>115000000</v>
      </c>
      <c r="J71" s="5">
        <v>125000000</v>
      </c>
      <c r="K71" s="5">
        <v>125000000</v>
      </c>
      <c r="L71" s="6">
        <f t="shared" si="1"/>
        <v>465000000</v>
      </c>
    </row>
    <row r="72" spans="1:12">
      <c r="A72" s="1">
        <v>35</v>
      </c>
      <c r="B72" s="3" t="s">
        <v>88</v>
      </c>
      <c r="C72" s="8" t="s">
        <v>13</v>
      </c>
      <c r="D72" s="8" t="s">
        <v>29</v>
      </c>
      <c r="E72" s="4" t="str">
        <v>Eman</v>
      </c>
      <c r="F72" s="4" t="str">
        <v>Denisahri N. P</v>
      </c>
      <c r="G72" s="4" t="str">
        <v>Hari Suseno</v>
      </c>
      <c r="H72" s="5">
        <v>16000000</v>
      </c>
      <c r="I72" s="5">
        <v>18000000</v>
      </c>
      <c r="J72" s="5">
        <v>18000000</v>
      </c>
      <c r="K72" s="5">
        <v>18000000</v>
      </c>
      <c r="L72" s="6">
        <f t="shared" si="1"/>
        <v>70000000</v>
      </c>
    </row>
    <row r="73" spans="1:12">
      <c r="A73" s="1">
        <v>37</v>
      </c>
      <c r="B73" s="8" t="s">
        <v>89</v>
      </c>
      <c r="C73" s="1" t="s">
        <v>13</v>
      </c>
      <c r="D73" s="1" t="s">
        <v>29</v>
      </c>
      <c r="E73" s="4" t="str">
        <v>Eman</v>
      </c>
      <c r="F73" s="4" t="str">
        <v>Hendra Al Aziz</v>
      </c>
      <c r="G73" s="4" t="str">
        <v>Rizal</v>
      </c>
      <c r="H73" s="5">
        <v>16000000</v>
      </c>
      <c r="I73" s="9">
        <v>27000000</v>
      </c>
      <c r="J73" s="9">
        <v>30000000</v>
      </c>
      <c r="K73" s="9">
        <v>30000000</v>
      </c>
      <c r="L73" s="6">
        <f t="shared" si="1"/>
        <v>103000000</v>
      </c>
    </row>
    <row r="74" spans="1:12">
      <c r="A74" s="1">
        <v>41</v>
      </c>
      <c r="B74" s="3" t="s">
        <v>90</v>
      </c>
      <c r="C74" s="1" t="s">
        <v>13</v>
      </c>
      <c r="D74" s="1" t="s">
        <v>29</v>
      </c>
      <c r="E74" s="4" t="str">
        <v>Eman</v>
      </c>
      <c r="F74" s="4" t="str">
        <v>Denisahri N. P</v>
      </c>
      <c r="G74" s="4" t="str">
        <v>Hari Suseno</v>
      </c>
      <c r="H74" s="5">
        <v>16000000</v>
      </c>
      <c r="I74" s="5">
        <v>20000000</v>
      </c>
      <c r="J74" s="5">
        <v>20000000</v>
      </c>
      <c r="K74" s="5">
        <v>20000000</v>
      </c>
      <c r="L74" s="6">
        <f t="shared" si="1"/>
        <v>76000000</v>
      </c>
    </row>
    <row r="75" spans="1:12">
      <c r="A75" s="1">
        <v>43</v>
      </c>
      <c r="B75" s="10" t="s">
        <v>91</v>
      </c>
      <c r="C75" s="1" t="s">
        <v>13</v>
      </c>
      <c r="D75" s="1" t="s">
        <v>29</v>
      </c>
      <c r="E75" s="4" t="str">
        <v>Eman</v>
      </c>
      <c r="F75" s="4" t="str">
        <v>Hendra Al Aziz</v>
      </c>
      <c r="G75" s="4" t="str">
        <v>Rizal</v>
      </c>
      <c r="H75" s="5">
        <v>16000000</v>
      </c>
      <c r="I75" s="9">
        <v>25000000</v>
      </c>
      <c r="J75" s="9">
        <v>27000000</v>
      </c>
      <c r="K75" s="9">
        <v>30000000</v>
      </c>
      <c r="L75" s="6">
        <f t="shared" si="1"/>
        <v>98000000</v>
      </c>
    </row>
    <row r="76" spans="1:12">
      <c r="A76" s="1">
        <v>48</v>
      </c>
      <c r="B76" s="3" t="s">
        <v>92</v>
      </c>
      <c r="C76" s="1" t="s">
        <v>13</v>
      </c>
      <c r="D76" s="1" t="s">
        <v>29</v>
      </c>
      <c r="E76" s="4" t="str">
        <v>Eman</v>
      </c>
      <c r="F76" s="4" t="str">
        <v>Denisahri N. P</v>
      </c>
      <c r="G76" s="4" t="str">
        <v>Hari Suseno</v>
      </c>
      <c r="H76" s="5">
        <v>16000000</v>
      </c>
      <c r="I76" s="5">
        <v>20000000</v>
      </c>
      <c r="J76" s="5">
        <v>25000000</v>
      </c>
      <c r="K76" s="5">
        <v>25000000</v>
      </c>
      <c r="L76" s="6">
        <f t="shared" si="1"/>
        <v>86000000</v>
      </c>
    </row>
    <row r="77" spans="1:12">
      <c r="A77" s="1">
        <v>50</v>
      </c>
      <c r="B77" s="3" t="s">
        <v>93</v>
      </c>
      <c r="C77" s="1" t="s">
        <v>13</v>
      </c>
      <c r="D77" s="1" t="s">
        <v>29</v>
      </c>
      <c r="E77" s="4" t="str">
        <v>Eman</v>
      </c>
      <c r="F77" s="4" t="str">
        <v>Denisahri N. P</v>
      </c>
      <c r="G77" s="4" t="str">
        <v>Hari Suseno</v>
      </c>
      <c r="H77" s="5">
        <v>16000000</v>
      </c>
      <c r="I77" s="5">
        <v>20000000</v>
      </c>
      <c r="J77" s="5">
        <v>20000000</v>
      </c>
      <c r="K77" s="5">
        <v>20000000</v>
      </c>
      <c r="L77" s="6">
        <f t="shared" si="1"/>
        <v>76000000</v>
      </c>
    </row>
    <row r="78" spans="1:12">
      <c r="A78" s="1">
        <v>67</v>
      </c>
      <c r="B78" s="8" t="s">
        <v>94</v>
      </c>
      <c r="C78" s="1" t="s">
        <v>13</v>
      </c>
      <c r="D78" s="1" t="s">
        <v>29</v>
      </c>
      <c r="E78" s="4" t="str">
        <v>Eman</v>
      </c>
      <c r="F78" s="4" t="str">
        <v>Hendra Al Aziz</v>
      </c>
      <c r="G78" s="4" t="str">
        <v>Rizal</v>
      </c>
      <c r="H78" s="5">
        <v>16000000</v>
      </c>
      <c r="I78" s="9">
        <v>27000000</v>
      </c>
      <c r="J78" s="9">
        <v>30000000</v>
      </c>
      <c r="K78" s="9">
        <v>30000000</v>
      </c>
      <c r="L78" s="6">
        <f t="shared" si="1"/>
        <v>103000000</v>
      </c>
    </row>
    <row r="79" spans="1:12">
      <c r="A79" s="1">
        <v>68</v>
      </c>
      <c r="B79" s="10" t="s">
        <v>95</v>
      </c>
      <c r="C79" s="1" t="s">
        <v>13</v>
      </c>
      <c r="D79" s="1" t="s">
        <v>29</v>
      </c>
      <c r="E79" s="4" t="str">
        <v>Eman</v>
      </c>
      <c r="F79" s="4" t="str">
        <v>Hendra Al Aziz</v>
      </c>
      <c r="G79" s="4" t="str">
        <v>Rizal</v>
      </c>
      <c r="H79" s="5">
        <v>16000000</v>
      </c>
      <c r="I79" s="9">
        <v>35000000</v>
      </c>
      <c r="J79" s="9">
        <v>37000000</v>
      </c>
      <c r="K79" s="9">
        <v>40000000</v>
      </c>
      <c r="L79" s="6">
        <f t="shared" si="1"/>
        <v>128000000</v>
      </c>
    </row>
    <row r="80" spans="1:12">
      <c r="A80" s="1">
        <v>82</v>
      </c>
      <c r="B80" s="10" t="s">
        <v>96</v>
      </c>
      <c r="C80" s="1" t="s">
        <v>13</v>
      </c>
      <c r="D80" s="1" t="s">
        <v>29</v>
      </c>
      <c r="E80" s="4" t="str">
        <v>Eman</v>
      </c>
      <c r="F80" s="4" t="str">
        <v>Hendra Al Aziz</v>
      </c>
      <c r="G80" s="4" t="str">
        <v>Rizal</v>
      </c>
      <c r="H80" s="5">
        <v>16000000</v>
      </c>
      <c r="I80" s="9">
        <v>27000000</v>
      </c>
      <c r="J80" s="9">
        <v>30000000</v>
      </c>
      <c r="K80" s="9">
        <v>30000000</v>
      </c>
      <c r="L80" s="6">
        <f t="shared" si="1"/>
        <v>103000000</v>
      </c>
    </row>
    <row r="81" spans="1:12">
      <c r="A81" s="1">
        <v>90</v>
      </c>
      <c r="B81" s="10" t="s">
        <v>97</v>
      </c>
      <c r="C81" s="1" t="s">
        <v>13</v>
      </c>
      <c r="D81" s="1" t="s">
        <v>29</v>
      </c>
      <c r="E81" s="4" t="str">
        <v>Eman</v>
      </c>
      <c r="F81" s="4" t="str">
        <v>Hendra Al Aziz</v>
      </c>
      <c r="G81" s="4" t="str">
        <v>Rizal</v>
      </c>
      <c r="H81" s="5">
        <v>16000000</v>
      </c>
      <c r="I81" s="9">
        <v>27000000</v>
      </c>
      <c r="J81" s="9">
        <v>30000000</v>
      </c>
      <c r="K81" s="9">
        <v>30000000</v>
      </c>
      <c r="L81" s="6">
        <f t="shared" si="1"/>
        <v>103000000</v>
      </c>
    </row>
    <row r="82" spans="1:12">
      <c r="A82" s="1">
        <v>104</v>
      </c>
      <c r="B82" s="3" t="s">
        <v>98</v>
      </c>
      <c r="C82" s="1" t="s">
        <v>13</v>
      </c>
      <c r="D82" s="1" t="s">
        <v>29</v>
      </c>
      <c r="E82" s="4" t="str">
        <v>Eman</v>
      </c>
      <c r="F82" s="4" t="str">
        <v>Denisahri N. P</v>
      </c>
      <c r="G82" s="4" t="str">
        <v>Hari Suseno</v>
      </c>
      <c r="H82" s="5">
        <v>16000000</v>
      </c>
      <c r="I82" s="5">
        <v>18000000</v>
      </c>
      <c r="J82" s="5">
        <v>18000000</v>
      </c>
      <c r="K82" s="5">
        <v>20000000</v>
      </c>
      <c r="L82" s="6">
        <f t="shared" si="1"/>
        <v>72000000</v>
      </c>
    </row>
    <row r="83" spans="1:12">
      <c r="A83" s="1">
        <v>109</v>
      </c>
      <c r="B83" s="1" t="s">
        <v>99</v>
      </c>
      <c r="C83" s="1" t="s">
        <v>13</v>
      </c>
      <c r="D83" s="1" t="s">
        <v>29</v>
      </c>
      <c r="E83" s="4" t="str">
        <v>Eman</v>
      </c>
      <c r="F83" s="1" t="str">
        <v>Denisahri N. P</v>
      </c>
      <c r="G83" s="1" t="str">
        <v>Hari Suseno</v>
      </c>
      <c r="H83" s="5">
        <v>16000000</v>
      </c>
      <c r="I83" s="5">
        <v>18000000</v>
      </c>
      <c r="J83" s="5">
        <v>20000000</v>
      </c>
      <c r="K83" s="5">
        <v>20000000</v>
      </c>
      <c r="L83" s="6">
        <f t="shared" si="1"/>
        <v>74000000</v>
      </c>
    </row>
    <row r="84" spans="1:12">
      <c r="A84" s="1">
        <v>114</v>
      </c>
      <c r="B84" s="8" t="s">
        <v>100</v>
      </c>
      <c r="C84" s="1" t="s">
        <v>13</v>
      </c>
      <c r="D84" s="1" t="s">
        <v>29</v>
      </c>
      <c r="E84" s="4" t="str">
        <v>Eman</v>
      </c>
      <c r="F84" s="4" t="str">
        <v>Hendra Al Aziz</v>
      </c>
      <c r="G84" s="4" t="str">
        <v>Rizal</v>
      </c>
      <c r="H84" s="5">
        <v>16000000</v>
      </c>
      <c r="I84" s="9">
        <v>27000000</v>
      </c>
      <c r="J84" s="9">
        <v>27000000</v>
      </c>
      <c r="K84" s="9">
        <v>30000000</v>
      </c>
      <c r="L84" s="6">
        <f t="shared" si="1"/>
        <v>100000000</v>
      </c>
    </row>
    <row r="85" spans="1:12">
      <c r="A85" s="1">
        <v>130</v>
      </c>
      <c r="B85" s="10" t="s">
        <v>101</v>
      </c>
      <c r="C85" s="1" t="s">
        <v>13</v>
      </c>
      <c r="D85" s="1" t="s">
        <v>29</v>
      </c>
      <c r="E85" s="4" t="str">
        <v>Eman</v>
      </c>
      <c r="F85" s="4" t="str">
        <v>Hendra Al Aziz</v>
      </c>
      <c r="G85" s="4" t="str">
        <v>Rizal</v>
      </c>
      <c r="H85" s="5">
        <v>16000000</v>
      </c>
      <c r="I85" s="9">
        <v>27000000</v>
      </c>
      <c r="J85" s="9">
        <v>30000000</v>
      </c>
      <c r="K85" s="9">
        <v>30000000</v>
      </c>
      <c r="L85" s="6">
        <f t="shared" si="1"/>
        <v>103000000</v>
      </c>
    </row>
    <row r="86" spans="1:12">
      <c r="A86" s="1">
        <v>197</v>
      </c>
      <c r="B86" s="8" t="s">
        <v>102</v>
      </c>
      <c r="C86" s="1" t="s">
        <v>13</v>
      </c>
      <c r="D86" s="1" t="s">
        <v>29</v>
      </c>
      <c r="E86" s="4" t="str">
        <v>Eman</v>
      </c>
      <c r="F86" s="4" t="str">
        <v>Hendra Al Aziz</v>
      </c>
      <c r="G86" s="4" t="str">
        <v>Rizal</v>
      </c>
      <c r="H86" s="5">
        <v>16000000</v>
      </c>
      <c r="I86" s="9">
        <v>25000000</v>
      </c>
      <c r="J86" s="9">
        <v>27000000</v>
      </c>
      <c r="K86" s="9">
        <v>27000000</v>
      </c>
      <c r="L86" s="6">
        <f t="shared" si="1"/>
        <v>95000000</v>
      </c>
    </row>
    <row r="87" spans="1:12">
      <c r="A87" s="1">
        <v>26</v>
      </c>
      <c r="B87" s="3" t="s">
        <v>103</v>
      </c>
      <c r="C87" s="1" t="s">
        <v>62</v>
      </c>
      <c r="D87" s="1" t="s">
        <v>76</v>
      </c>
      <c r="E87" s="4" t="str">
        <v>Ilham</v>
      </c>
      <c r="F87" s="4" t="str">
        <v>Junaidi Ismail</v>
      </c>
      <c r="G87" s="4" t="str">
        <v>Dimas Priwidyanto</v>
      </c>
      <c r="H87" s="5">
        <v>70000000</v>
      </c>
      <c r="I87" s="5">
        <v>70000000</v>
      </c>
      <c r="J87" s="5">
        <v>75000000</v>
      </c>
      <c r="K87" s="5">
        <v>80000000</v>
      </c>
      <c r="L87" s="6">
        <f t="shared" si="1"/>
        <v>295000000</v>
      </c>
    </row>
    <row r="88" spans="1:12">
      <c r="A88" s="1">
        <v>134</v>
      </c>
      <c r="B88" s="3" t="s">
        <v>104</v>
      </c>
      <c r="C88" s="1" t="s">
        <v>62</v>
      </c>
      <c r="D88" s="1" t="s">
        <v>76</v>
      </c>
      <c r="E88" s="4" t="str">
        <v>Ilham</v>
      </c>
      <c r="F88" s="4" t="str">
        <v>Junaidi Ismail</v>
      </c>
      <c r="G88" s="4" t="str">
        <v>Dimas Priwidyanto</v>
      </c>
      <c r="H88" s="5">
        <v>165000000</v>
      </c>
      <c r="I88" s="5">
        <v>185000000</v>
      </c>
      <c r="J88" s="5">
        <v>195000000</v>
      </c>
      <c r="K88" s="5">
        <v>205000000</v>
      </c>
      <c r="L88" s="6">
        <f t="shared" si="1"/>
        <v>750000000</v>
      </c>
    </row>
    <row r="89" spans="1:12">
      <c r="A89" s="1">
        <v>136</v>
      </c>
      <c r="B89" s="3" t="s">
        <v>105</v>
      </c>
      <c r="C89" s="1" t="s">
        <v>62</v>
      </c>
      <c r="D89" s="1" t="s">
        <v>76</v>
      </c>
      <c r="E89" s="4" t="str">
        <v>Ilham</v>
      </c>
      <c r="F89" s="4" t="str">
        <v>Junaidi Ismail</v>
      </c>
      <c r="G89" s="4" t="str">
        <v>Dimas Priwidyanto</v>
      </c>
      <c r="H89" s="5">
        <v>360000000</v>
      </c>
      <c r="I89" s="5">
        <v>400000000</v>
      </c>
      <c r="J89" s="5">
        <v>420000000</v>
      </c>
      <c r="K89" s="5">
        <v>440000000</v>
      </c>
      <c r="L89" s="6">
        <f t="shared" si="1"/>
        <v>1620000000</v>
      </c>
    </row>
    <row r="90" spans="1:12">
      <c r="A90" s="1">
        <v>151</v>
      </c>
      <c r="B90" s="3" t="s">
        <v>106</v>
      </c>
      <c r="C90" s="1" t="s">
        <v>62</v>
      </c>
      <c r="D90" s="1" t="s">
        <v>76</v>
      </c>
      <c r="E90" s="4" t="str">
        <v>Ilham</v>
      </c>
      <c r="F90" s="4" t="str">
        <v>Junaidi Ismail</v>
      </c>
      <c r="G90" s="4" t="str">
        <v>Dimas Priwidyanto</v>
      </c>
      <c r="H90" s="5">
        <v>55000000</v>
      </c>
      <c r="I90" s="5">
        <v>65000000</v>
      </c>
      <c r="J90" s="5">
        <v>70000000</v>
      </c>
      <c r="K90" s="5">
        <v>75000000</v>
      </c>
      <c r="L90" s="6">
        <f t="shared" si="1"/>
        <v>265000000</v>
      </c>
    </row>
    <row r="91" spans="1:12">
      <c r="A91" s="1">
        <v>160</v>
      </c>
      <c r="B91" s="3" t="s">
        <v>107</v>
      </c>
      <c r="C91" s="1" t="s">
        <v>62</v>
      </c>
      <c r="D91" s="1" t="s">
        <v>76</v>
      </c>
      <c r="E91" s="4" t="str">
        <v>Ilham</v>
      </c>
      <c r="F91" s="4" t="str">
        <v>Junaidi Ismail</v>
      </c>
      <c r="G91" s="4" t="str">
        <v>Dimas Priwidyanto</v>
      </c>
      <c r="H91" s="5">
        <v>60000000</v>
      </c>
      <c r="I91" s="5">
        <v>75000000</v>
      </c>
      <c r="J91" s="5">
        <v>80000000</v>
      </c>
      <c r="K91" s="5">
        <v>85000000</v>
      </c>
      <c r="L91" s="6">
        <f t="shared" si="1"/>
        <v>300000000</v>
      </c>
    </row>
    <row r="92" spans="1:12">
      <c r="A92" s="1">
        <v>162</v>
      </c>
      <c r="B92" s="3" t="s">
        <v>108</v>
      </c>
      <c r="C92" s="1" t="s">
        <v>62</v>
      </c>
      <c r="D92" s="1" t="s">
        <v>76</v>
      </c>
      <c r="E92" s="4" t="str">
        <v>Ilham</v>
      </c>
      <c r="F92" s="4" t="str">
        <v>Junaidi Ismail</v>
      </c>
      <c r="G92" s="4" t="str">
        <v>Dimas Priwidyanto</v>
      </c>
      <c r="H92" s="5">
        <v>160000000</v>
      </c>
      <c r="I92" s="5">
        <v>180000000</v>
      </c>
      <c r="J92" s="5">
        <v>190000000</v>
      </c>
      <c r="K92" s="5">
        <v>195000000</v>
      </c>
      <c r="L92" s="6">
        <f t="shared" si="1"/>
        <v>725000000</v>
      </c>
    </row>
    <row r="93" spans="1:12">
      <c r="A93" s="1">
        <v>163</v>
      </c>
      <c r="B93" s="3" t="s">
        <v>109</v>
      </c>
      <c r="C93" s="1" t="s">
        <v>62</v>
      </c>
      <c r="D93" s="1" t="s">
        <v>76</v>
      </c>
      <c r="E93" s="4" t="str">
        <v>Ilham</v>
      </c>
      <c r="F93" s="4" t="str">
        <v>Junaidi Ismail</v>
      </c>
      <c r="G93" s="4" t="str">
        <v>Dimas Priwidyanto</v>
      </c>
      <c r="H93" s="5">
        <v>55000000</v>
      </c>
      <c r="I93" s="5">
        <v>65000000</v>
      </c>
      <c r="J93" s="5">
        <v>75000000</v>
      </c>
      <c r="K93" s="5">
        <v>80000000</v>
      </c>
      <c r="L93" s="6">
        <f t="shared" si="1"/>
        <v>275000000</v>
      </c>
    </row>
    <row r="94" spans="1:12">
      <c r="A94" s="1">
        <v>213</v>
      </c>
      <c r="B94" s="3" t="s">
        <v>110</v>
      </c>
      <c r="C94" s="1" t="s">
        <v>62</v>
      </c>
      <c r="D94" s="1" t="s">
        <v>76</v>
      </c>
      <c r="E94" s="4" t="str">
        <v>Ilham</v>
      </c>
      <c r="F94" s="4" t="str">
        <v>Junaidi Ismail</v>
      </c>
      <c r="G94" s="4" t="str">
        <v>Dimas Priwidyanto</v>
      </c>
      <c r="H94" s="5">
        <v>35000000</v>
      </c>
      <c r="I94" s="5">
        <v>50000000</v>
      </c>
      <c r="J94" s="5">
        <v>55000000</v>
      </c>
      <c r="K94" s="5">
        <v>60000000</v>
      </c>
      <c r="L94" s="6">
        <f t="shared" si="1"/>
        <v>200000000</v>
      </c>
    </row>
    <row r="95" spans="1:12">
      <c r="A95" s="1">
        <v>220</v>
      </c>
      <c r="B95" s="3" t="s">
        <v>111</v>
      </c>
      <c r="C95" s="1" t="s">
        <v>62</v>
      </c>
      <c r="D95" s="1" t="s">
        <v>76</v>
      </c>
      <c r="E95" s="4" t="str">
        <v>Ilham</v>
      </c>
      <c r="F95" s="4" t="str">
        <v>Junaidi Ismail</v>
      </c>
      <c r="G95" s="4" t="str">
        <v>Dimas Priwidyanto</v>
      </c>
      <c r="H95" s="5">
        <v>60000000</v>
      </c>
      <c r="I95" s="5">
        <v>80000000</v>
      </c>
      <c r="J95" s="5">
        <v>85000000</v>
      </c>
      <c r="K95" s="5">
        <v>85000000</v>
      </c>
      <c r="L95" s="6">
        <f t="shared" si="1"/>
        <v>310000000</v>
      </c>
    </row>
    <row r="96" spans="1:12">
      <c r="A96" s="1">
        <v>4</v>
      </c>
      <c r="B96" s="3" t="s">
        <v>112</v>
      </c>
      <c r="C96" s="1" t="s">
        <v>62</v>
      </c>
      <c r="D96" s="1" t="s">
        <v>76</v>
      </c>
      <c r="E96" s="4" t="str">
        <v>Isna</v>
      </c>
      <c r="F96" s="4" t="str">
        <v>Hendra Al Aziz</v>
      </c>
      <c r="G96" s="4" t="str">
        <v>Ahmad Yoga</v>
      </c>
      <c r="H96" s="5">
        <v>100000000</v>
      </c>
      <c r="I96" s="9">
        <v>130000000</v>
      </c>
      <c r="J96" s="9">
        <v>140000000</v>
      </c>
      <c r="K96" s="9">
        <v>150000000</v>
      </c>
      <c r="L96" s="6">
        <f t="shared" si="1"/>
        <v>520000000</v>
      </c>
    </row>
    <row r="97" spans="1:12">
      <c r="A97" s="1">
        <v>6</v>
      </c>
      <c r="B97" s="5" t="s">
        <v>113</v>
      </c>
      <c r="C97" s="1" t="s">
        <v>62</v>
      </c>
      <c r="D97" s="1" t="s">
        <v>76</v>
      </c>
      <c r="E97" s="4" t="str">
        <v>Isna</v>
      </c>
      <c r="F97" s="4" t="str">
        <v>Hendra Al Aziz</v>
      </c>
      <c r="G97" s="4" t="str">
        <v>Ahmad Yoga</v>
      </c>
      <c r="H97" s="5">
        <v>25000000</v>
      </c>
      <c r="I97" s="9">
        <v>35000000</v>
      </c>
      <c r="J97" s="9">
        <v>35000000</v>
      </c>
      <c r="K97" s="9">
        <v>37000000</v>
      </c>
      <c r="L97" s="6">
        <f t="shared" si="1"/>
        <v>132000000</v>
      </c>
    </row>
    <row r="98" spans="1:12">
      <c r="A98" s="1">
        <v>14</v>
      </c>
      <c r="B98" s="3" t="s">
        <v>114</v>
      </c>
      <c r="C98" s="1" t="s">
        <v>62</v>
      </c>
      <c r="D98" s="1" t="s">
        <v>76</v>
      </c>
      <c r="E98" s="4" t="str">
        <v>Isna</v>
      </c>
      <c r="F98" s="4" t="str">
        <v>Hendra Al Aziz</v>
      </c>
      <c r="G98" s="4" t="str">
        <v>Ahmad Yoga</v>
      </c>
      <c r="H98" s="5">
        <v>100000000</v>
      </c>
      <c r="I98" s="9">
        <v>120000000</v>
      </c>
      <c r="J98" s="9">
        <v>135000000</v>
      </c>
      <c r="K98" s="9">
        <v>145000000</v>
      </c>
      <c r="L98" s="6">
        <f t="shared" si="1"/>
        <v>500000000</v>
      </c>
    </row>
    <row r="99" spans="1:12">
      <c r="A99" s="1">
        <v>154</v>
      </c>
      <c r="B99" s="3" t="s">
        <v>115</v>
      </c>
      <c r="C99" s="1" t="s">
        <v>62</v>
      </c>
      <c r="D99" s="1" t="s">
        <v>76</v>
      </c>
      <c r="E99" s="4" t="str">
        <v>Isna</v>
      </c>
      <c r="F99" s="4" t="str">
        <v>Hendra Al Aziz</v>
      </c>
      <c r="G99" s="4" t="str">
        <v>Ahmad Yoga</v>
      </c>
      <c r="H99" s="5">
        <v>140000000</v>
      </c>
      <c r="I99" s="9">
        <v>180000000</v>
      </c>
      <c r="J99" s="9">
        <v>190000000</v>
      </c>
      <c r="K99" s="9">
        <v>195000000</v>
      </c>
      <c r="L99" s="6">
        <f t="shared" si="1"/>
        <v>705000000</v>
      </c>
    </row>
    <row r="100" spans="1:12">
      <c r="A100" s="1">
        <v>169</v>
      </c>
      <c r="B100" s="3" t="s">
        <v>116</v>
      </c>
      <c r="C100" s="1" t="s">
        <v>62</v>
      </c>
      <c r="D100" s="1" t="s">
        <v>76</v>
      </c>
      <c r="E100" s="4" t="str">
        <v>Isna</v>
      </c>
      <c r="F100" s="4" t="str">
        <v>Hendra Al Aziz</v>
      </c>
      <c r="G100" s="4" t="str">
        <v>Ahmad Yoga</v>
      </c>
      <c r="H100" s="5">
        <v>220000000</v>
      </c>
      <c r="I100" s="9">
        <v>250000000</v>
      </c>
      <c r="J100" s="9">
        <v>270000000</v>
      </c>
      <c r="K100" s="9">
        <v>275000000</v>
      </c>
      <c r="L100" s="6">
        <f t="shared" si="1"/>
        <v>1015000000</v>
      </c>
    </row>
    <row r="101" spans="1:12">
      <c r="A101" s="1">
        <v>181</v>
      </c>
      <c r="B101" s="3" t="s">
        <v>117</v>
      </c>
      <c r="C101" s="1" t="s">
        <v>62</v>
      </c>
      <c r="D101" s="1" t="s">
        <v>76</v>
      </c>
      <c r="E101" s="4" t="str">
        <v>Isna</v>
      </c>
      <c r="F101" s="4" t="str">
        <v>Hendra Al Aziz</v>
      </c>
      <c r="G101" s="4" t="str">
        <v>Ahmad Yoga</v>
      </c>
      <c r="H101" s="5">
        <v>50000000</v>
      </c>
      <c r="I101" s="9">
        <v>65000000</v>
      </c>
      <c r="J101" s="9">
        <v>75000000</v>
      </c>
      <c r="K101" s="9">
        <v>80000000</v>
      </c>
      <c r="L101" s="6">
        <f t="shared" si="1"/>
        <v>270000000</v>
      </c>
    </row>
    <row r="102" spans="1:12">
      <c r="A102" s="1">
        <v>182</v>
      </c>
      <c r="B102" s="3" t="s">
        <v>118</v>
      </c>
      <c r="C102" s="1" t="s">
        <v>62</v>
      </c>
      <c r="D102" s="1" t="s">
        <v>76</v>
      </c>
      <c r="E102" s="4" t="str">
        <v>Isna</v>
      </c>
      <c r="F102" s="4" t="str">
        <v>Hendra Al Aziz</v>
      </c>
      <c r="G102" s="4" t="str">
        <v>Ahmad Yoga</v>
      </c>
      <c r="H102" s="5">
        <v>170000000</v>
      </c>
      <c r="I102" s="9">
        <v>260000000</v>
      </c>
      <c r="J102" s="9">
        <v>275000000</v>
      </c>
      <c r="K102" s="9">
        <v>285000000</v>
      </c>
      <c r="L102" s="6">
        <f t="shared" si="1"/>
        <v>990000000</v>
      </c>
    </row>
    <row r="103" spans="1:12">
      <c r="A103" s="1">
        <v>184</v>
      </c>
      <c r="B103" s="3" t="s">
        <v>119</v>
      </c>
      <c r="C103" s="1" t="s">
        <v>62</v>
      </c>
      <c r="D103" s="1" t="s">
        <v>76</v>
      </c>
      <c r="E103" s="4" t="str">
        <v>Isna</v>
      </c>
      <c r="F103" s="4" t="str">
        <v>Hendra Al Aziz</v>
      </c>
      <c r="G103" s="4" t="str">
        <v>Ahmad Yoga</v>
      </c>
      <c r="H103" s="5">
        <v>350000000</v>
      </c>
      <c r="I103" s="9">
        <v>370000000</v>
      </c>
      <c r="J103" s="9">
        <v>395000000</v>
      </c>
      <c r="K103" s="9">
        <v>405000000</v>
      </c>
      <c r="L103" s="6">
        <f t="shared" si="1"/>
        <v>1520000000</v>
      </c>
    </row>
    <row r="104" spans="1:12">
      <c r="A104" s="1">
        <v>185</v>
      </c>
      <c r="B104" s="3" t="s">
        <v>120</v>
      </c>
      <c r="C104" s="1" t="s">
        <v>62</v>
      </c>
      <c r="D104" s="1" t="s">
        <v>76</v>
      </c>
      <c r="E104" s="4" t="str">
        <v>Isna</v>
      </c>
      <c r="F104" s="4" t="str">
        <v>Hendra Al Aziz</v>
      </c>
      <c r="G104" s="4" t="str">
        <v>Ahmad Yoga</v>
      </c>
      <c r="H104" s="5">
        <v>215000000</v>
      </c>
      <c r="I104" s="9">
        <v>250000000</v>
      </c>
      <c r="J104" s="9">
        <v>275000000</v>
      </c>
      <c r="K104" s="9">
        <v>285000000</v>
      </c>
      <c r="L104" s="6">
        <f t="shared" si="1"/>
        <v>1025000000</v>
      </c>
    </row>
    <row r="105" spans="1:12">
      <c r="A105" s="1">
        <v>36</v>
      </c>
      <c r="B105" s="3" t="s">
        <v>121</v>
      </c>
      <c r="C105" s="1" t="s">
        <v>13</v>
      </c>
      <c r="D105" s="1" t="s">
        <v>14</v>
      </c>
      <c r="E105" s="4" t="str">
        <v>Iwan</v>
      </c>
      <c r="F105" s="4" t="str">
        <v>Denisahri N. P</v>
      </c>
      <c r="G105" s="4" t="str">
        <v>Kartini</v>
      </c>
      <c r="H105" s="5">
        <v>90000000</v>
      </c>
      <c r="I105" s="5">
        <v>100000000</v>
      </c>
      <c r="J105" s="5">
        <v>110000000</v>
      </c>
      <c r="K105" s="5">
        <v>120000000</v>
      </c>
      <c r="L105" s="6">
        <f t="shared" si="1"/>
        <v>420000000</v>
      </c>
    </row>
    <row r="106" spans="1:12">
      <c r="A106" s="1">
        <v>38</v>
      </c>
      <c r="B106" s="3" t="s">
        <v>122</v>
      </c>
      <c r="C106" s="1" t="s">
        <v>13</v>
      </c>
      <c r="D106" s="1" t="s">
        <v>14</v>
      </c>
      <c r="E106" s="4" t="str">
        <v>Iwan</v>
      </c>
      <c r="F106" s="4" t="str">
        <v>Denisahri N. P</v>
      </c>
      <c r="G106" s="4" t="str">
        <v>Kartini</v>
      </c>
      <c r="H106" s="5">
        <v>20000000</v>
      </c>
      <c r="I106" s="5">
        <v>25000000</v>
      </c>
      <c r="J106" s="5">
        <v>30000000</v>
      </c>
      <c r="K106" s="5">
        <v>30000000</v>
      </c>
      <c r="L106" s="6">
        <f t="shared" si="1"/>
        <v>105000000</v>
      </c>
    </row>
    <row r="107" spans="1:12">
      <c r="A107" s="1">
        <v>52</v>
      </c>
      <c r="B107" s="3" t="s">
        <v>123</v>
      </c>
      <c r="C107" s="1" t="s">
        <v>13</v>
      </c>
      <c r="D107" s="1" t="s">
        <v>14</v>
      </c>
      <c r="E107" s="4" t="str">
        <v>Iwan</v>
      </c>
      <c r="F107" s="4" t="str">
        <v>Denisahri N. P</v>
      </c>
      <c r="G107" s="4" t="str">
        <v>Kartini</v>
      </c>
      <c r="H107" s="5">
        <v>20000000</v>
      </c>
      <c r="I107" s="5">
        <v>30000000</v>
      </c>
      <c r="J107" s="5">
        <v>30000000</v>
      </c>
      <c r="K107" s="5">
        <v>35000000</v>
      </c>
      <c r="L107" s="6">
        <f t="shared" si="1"/>
        <v>115000000</v>
      </c>
    </row>
    <row r="108" spans="1:12">
      <c r="A108" s="1">
        <v>56</v>
      </c>
      <c r="B108" s="3" t="s">
        <v>124</v>
      </c>
      <c r="C108" s="1" t="s">
        <v>13</v>
      </c>
      <c r="D108" s="1" t="s">
        <v>14</v>
      </c>
      <c r="E108" s="4" t="str">
        <v>Iwan</v>
      </c>
      <c r="F108" s="4" t="str">
        <v>Denisahri N. P</v>
      </c>
      <c r="G108" s="4" t="str">
        <v>Kartini</v>
      </c>
      <c r="H108" s="5">
        <v>40000000</v>
      </c>
      <c r="I108" s="5">
        <v>60000000</v>
      </c>
      <c r="J108" s="5">
        <v>65000000</v>
      </c>
      <c r="K108" s="5">
        <v>65000000</v>
      </c>
      <c r="L108" s="6">
        <f t="shared" si="1"/>
        <v>230000000</v>
      </c>
    </row>
    <row r="109" spans="1:12">
      <c r="A109" s="1">
        <v>70</v>
      </c>
      <c r="B109" s="1" t="s">
        <v>125</v>
      </c>
      <c r="C109" s="1" t="s">
        <v>13</v>
      </c>
      <c r="D109" s="1" t="s">
        <v>14</v>
      </c>
      <c r="E109" s="4" t="str">
        <v>Iwan</v>
      </c>
      <c r="F109" s="4" t="str">
        <v>Denisahri N. P</v>
      </c>
      <c r="G109" s="4" t="str">
        <v>Kartini</v>
      </c>
      <c r="H109" s="5">
        <v>25000000</v>
      </c>
      <c r="I109" s="5">
        <v>30000000</v>
      </c>
      <c r="J109" s="5">
        <v>30000000</v>
      </c>
      <c r="K109" s="5">
        <v>30000000</v>
      </c>
      <c r="L109" s="6">
        <f t="shared" si="1"/>
        <v>115000000</v>
      </c>
    </row>
    <row r="110" spans="1:12">
      <c r="A110" s="1">
        <v>74</v>
      </c>
      <c r="B110" s="5" t="s">
        <v>126</v>
      </c>
      <c r="C110" s="1" t="s">
        <v>13</v>
      </c>
      <c r="D110" s="1" t="s">
        <v>14</v>
      </c>
      <c r="E110" s="4" t="str">
        <v>Iwan</v>
      </c>
      <c r="F110" s="4" t="str">
        <v>Denisahri N. P</v>
      </c>
      <c r="G110" s="4" t="str">
        <v>Kartini</v>
      </c>
      <c r="H110" s="5">
        <v>25000000</v>
      </c>
      <c r="I110" s="5">
        <v>40000000</v>
      </c>
      <c r="J110" s="5">
        <v>40000000</v>
      </c>
      <c r="K110" s="5">
        <v>40000000</v>
      </c>
      <c r="L110" s="6">
        <f t="shared" si="1"/>
        <v>145000000</v>
      </c>
    </row>
    <row r="111" spans="1:12">
      <c r="A111" s="1">
        <v>80</v>
      </c>
      <c r="B111" s="3" t="s">
        <v>127</v>
      </c>
      <c r="C111" s="1" t="s">
        <v>13</v>
      </c>
      <c r="D111" s="1" t="s">
        <v>14</v>
      </c>
      <c r="E111" s="4" t="str">
        <v>Iwan</v>
      </c>
      <c r="F111" s="4" t="str">
        <v>Denisahri N. P</v>
      </c>
      <c r="G111" s="4" t="str">
        <v>Kartini</v>
      </c>
      <c r="H111" s="5">
        <v>20000000</v>
      </c>
      <c r="I111" s="5">
        <v>25000000</v>
      </c>
      <c r="J111" s="5">
        <v>30000000</v>
      </c>
      <c r="K111" s="5">
        <v>30000000</v>
      </c>
      <c r="L111" s="6">
        <f t="shared" si="1"/>
        <v>105000000</v>
      </c>
    </row>
    <row r="112" spans="1:12">
      <c r="A112" s="1">
        <v>102</v>
      </c>
      <c r="B112" s="3" t="s">
        <v>128</v>
      </c>
      <c r="C112" s="1" t="s">
        <v>13</v>
      </c>
      <c r="D112" s="1" t="s">
        <v>14</v>
      </c>
      <c r="E112" s="4" t="str">
        <v>Iwan</v>
      </c>
      <c r="F112" s="4" t="str">
        <v>Denisahri N. P</v>
      </c>
      <c r="G112" s="4" t="str">
        <v>Kartini</v>
      </c>
      <c r="H112" s="5">
        <v>25000000</v>
      </c>
      <c r="I112" s="5">
        <v>40000000</v>
      </c>
      <c r="J112" s="5">
        <v>45000000</v>
      </c>
      <c r="K112" s="5">
        <v>45000000</v>
      </c>
      <c r="L112" s="6">
        <f t="shared" si="1"/>
        <v>155000000</v>
      </c>
    </row>
    <row r="113" spans="1:12">
      <c r="A113" s="1">
        <v>115</v>
      </c>
      <c r="B113" s="3" t="s">
        <v>129</v>
      </c>
      <c r="C113" s="1" t="s">
        <v>13</v>
      </c>
      <c r="D113" s="1" t="s">
        <v>14</v>
      </c>
      <c r="E113" s="4" t="str">
        <v>Iwan</v>
      </c>
      <c r="F113" s="4" t="str">
        <v>Denisahri N. P</v>
      </c>
      <c r="G113" s="4" t="str">
        <v>Kartini</v>
      </c>
      <c r="H113" s="5">
        <v>20000000</v>
      </c>
      <c r="I113" s="5">
        <v>22000000</v>
      </c>
      <c r="J113" s="5">
        <v>25000000</v>
      </c>
      <c r="K113" s="5">
        <v>25000000</v>
      </c>
      <c r="L113" s="6">
        <f t="shared" si="1"/>
        <v>92000000</v>
      </c>
    </row>
    <row r="114" spans="1:12">
      <c r="A114" s="1">
        <v>120</v>
      </c>
      <c r="B114" s="1" t="s">
        <v>130</v>
      </c>
      <c r="C114" s="1" t="s">
        <v>13</v>
      </c>
      <c r="D114" s="1" t="s">
        <v>14</v>
      </c>
      <c r="E114" s="4" t="str">
        <v>Iwan</v>
      </c>
      <c r="F114" s="4" t="str">
        <v>Denisahri N. P</v>
      </c>
      <c r="G114" s="4" t="str">
        <v>Kartini</v>
      </c>
      <c r="H114" s="5">
        <v>20000000</v>
      </c>
      <c r="I114" s="5">
        <v>25000000</v>
      </c>
      <c r="J114" s="5">
        <v>30000000</v>
      </c>
      <c r="K114" s="5">
        <v>30000000</v>
      </c>
      <c r="L114" s="6">
        <f t="shared" si="1"/>
        <v>105000000</v>
      </c>
    </row>
    <row r="115" spans="1:12">
      <c r="A115" s="1">
        <v>131</v>
      </c>
      <c r="B115" s="3" t="s">
        <v>131</v>
      </c>
      <c r="C115" s="1" t="s">
        <v>13</v>
      </c>
      <c r="D115" s="1" t="s">
        <v>14</v>
      </c>
      <c r="E115" s="4" t="str">
        <v>Iwan</v>
      </c>
      <c r="F115" s="4" t="str">
        <v>Denisahri N. P</v>
      </c>
      <c r="G115" s="4" t="str">
        <v>Kartini</v>
      </c>
      <c r="H115" s="5">
        <v>16000000</v>
      </c>
      <c r="I115" s="5">
        <v>18000000</v>
      </c>
      <c r="J115" s="5">
        <v>18000000</v>
      </c>
      <c r="K115" s="5">
        <v>18000000</v>
      </c>
      <c r="L115" s="6">
        <f t="shared" si="1"/>
        <v>70000000</v>
      </c>
    </row>
    <row r="116" spans="1:12">
      <c r="A116" s="1">
        <v>174</v>
      </c>
      <c r="B116" s="3" t="s">
        <v>132</v>
      </c>
      <c r="C116" s="1" t="s">
        <v>13</v>
      </c>
      <c r="D116" s="1" t="s">
        <v>14</v>
      </c>
      <c r="E116" s="4" t="str">
        <v>Iwan</v>
      </c>
      <c r="F116" s="4" t="str">
        <v>Denisahri N. P</v>
      </c>
      <c r="G116" s="4" t="str">
        <v>Kartini</v>
      </c>
      <c r="H116" s="5">
        <v>0</v>
      </c>
      <c r="I116" s="5"/>
      <c r="J116" s="5"/>
      <c r="K116" s="5"/>
      <c r="L116" s="6">
        <f t="shared" si="1"/>
        <v>0</v>
      </c>
    </row>
    <row r="117" spans="1:12">
      <c r="A117" s="1">
        <v>177</v>
      </c>
      <c r="B117" s="3" t="s">
        <v>133</v>
      </c>
      <c r="C117" s="1" t="s">
        <v>13</v>
      </c>
      <c r="D117" s="1" t="s">
        <v>14</v>
      </c>
      <c r="E117" s="4" t="str">
        <v>Iwan</v>
      </c>
      <c r="F117" s="4" t="str">
        <v>Denisahri N. P</v>
      </c>
      <c r="G117" s="4" t="str">
        <v>Kartini</v>
      </c>
      <c r="H117" s="5">
        <v>0</v>
      </c>
      <c r="I117" s="5"/>
      <c r="J117" s="5"/>
      <c r="K117" s="5"/>
      <c r="L117" s="6">
        <f t="shared" si="1"/>
        <v>0</v>
      </c>
    </row>
    <row r="118" spans="1:12">
      <c r="A118" s="1">
        <v>178</v>
      </c>
      <c r="B118" s="3" t="s">
        <v>134</v>
      </c>
      <c r="C118" s="1" t="s">
        <v>13</v>
      </c>
      <c r="D118" s="1" t="s">
        <v>14</v>
      </c>
      <c r="E118" s="4" t="str">
        <v>Iwan</v>
      </c>
      <c r="F118" s="4" t="str">
        <v>Denisahri N. P</v>
      </c>
      <c r="G118" s="4" t="str">
        <v>Kartini</v>
      </c>
      <c r="H118" s="5">
        <v>0</v>
      </c>
      <c r="I118" s="5"/>
      <c r="J118" s="5"/>
      <c r="K118" s="5"/>
      <c r="L118" s="6">
        <f t="shared" si="1"/>
        <v>0</v>
      </c>
    </row>
    <row r="119" spans="1:12">
      <c r="A119" s="1">
        <v>196</v>
      </c>
      <c r="B119" s="1" t="s">
        <v>135</v>
      </c>
      <c r="C119" s="1" t="s">
        <v>13</v>
      </c>
      <c r="D119" s="1" t="s">
        <v>14</v>
      </c>
      <c r="E119" s="4" t="str">
        <v>Iwan</v>
      </c>
      <c r="F119" s="4" t="str">
        <v>Denisahri N. P</v>
      </c>
      <c r="G119" s="4" t="str">
        <v>Kartini</v>
      </c>
      <c r="H119" s="5">
        <v>16000000</v>
      </c>
      <c r="I119" s="5">
        <v>20000000</v>
      </c>
      <c r="J119" s="5">
        <v>20000000</v>
      </c>
      <c r="K119" s="5">
        <v>20000000</v>
      </c>
      <c r="L119" s="6">
        <f t="shared" si="1"/>
        <v>76000000</v>
      </c>
    </row>
    <row r="120" spans="1:12">
      <c r="A120" s="1">
        <v>28</v>
      </c>
      <c r="B120" s="3" t="s">
        <v>136</v>
      </c>
      <c r="C120" s="1" t="s">
        <v>13</v>
      </c>
      <c r="D120" s="1" t="s">
        <v>14</v>
      </c>
      <c r="E120" s="4" t="str">
        <v>Kholik</v>
      </c>
      <c r="F120" s="4" t="str">
        <v>Junaidi Ismail</v>
      </c>
      <c r="G120" s="4" t="str">
        <v>Rahmat Depiyar</v>
      </c>
      <c r="H120" s="5">
        <v>16000000</v>
      </c>
      <c r="I120" s="5">
        <v>25000000</v>
      </c>
      <c r="J120" s="5">
        <v>25000000</v>
      </c>
      <c r="K120" s="5">
        <v>25000000</v>
      </c>
      <c r="L120" s="6">
        <f t="shared" si="1"/>
        <v>91000000</v>
      </c>
    </row>
    <row r="121" spans="1:12">
      <c r="A121" s="1">
        <v>32</v>
      </c>
      <c r="B121" s="5" t="s">
        <v>137</v>
      </c>
      <c r="C121" s="1" t="s">
        <v>13</v>
      </c>
      <c r="D121" s="1" t="s">
        <v>14</v>
      </c>
      <c r="E121" s="4" t="str">
        <v>Kholik</v>
      </c>
      <c r="F121" s="4" t="str">
        <v>Junaidi Ismail</v>
      </c>
      <c r="G121" s="4" t="str">
        <v>Rahmat Depiyar</v>
      </c>
      <c r="H121" s="5">
        <v>30000000</v>
      </c>
      <c r="I121" s="5">
        <v>35000000</v>
      </c>
      <c r="J121" s="5">
        <v>40000000</v>
      </c>
      <c r="K121" s="5">
        <v>40000000</v>
      </c>
      <c r="L121" s="6">
        <f t="shared" si="1"/>
        <v>145000000</v>
      </c>
    </row>
    <row r="122" spans="1:12">
      <c r="A122" s="1">
        <v>33</v>
      </c>
      <c r="B122" s="3" t="s">
        <v>138</v>
      </c>
      <c r="C122" s="1" t="s">
        <v>13</v>
      </c>
      <c r="D122" s="1" t="s">
        <v>14</v>
      </c>
      <c r="E122" s="4" t="str">
        <v>Kholik</v>
      </c>
      <c r="F122" s="4" t="str">
        <v>Junaidi Ismail</v>
      </c>
      <c r="G122" s="4" t="str">
        <v>Rahmat Depiyar</v>
      </c>
      <c r="H122" s="5">
        <v>16000000</v>
      </c>
      <c r="I122" s="5">
        <v>20000000</v>
      </c>
      <c r="J122" s="5">
        <v>25000000</v>
      </c>
      <c r="K122" s="5">
        <v>25000000</v>
      </c>
      <c r="L122" s="6">
        <f t="shared" si="1"/>
        <v>86000000</v>
      </c>
    </row>
    <row r="123" spans="1:12">
      <c r="A123" s="1">
        <v>40</v>
      </c>
      <c r="B123" s="3" t="s">
        <v>139</v>
      </c>
      <c r="C123" s="1" t="s">
        <v>13</v>
      </c>
      <c r="D123" s="1" t="s">
        <v>14</v>
      </c>
      <c r="E123" s="4" t="str">
        <v>Kholik</v>
      </c>
      <c r="F123" s="4" t="str">
        <v>Junaidi Ismail</v>
      </c>
      <c r="G123" s="4" t="str">
        <v>Rahmat Depiyar</v>
      </c>
      <c r="H123" s="5">
        <v>20000000</v>
      </c>
      <c r="I123" s="5">
        <v>30000000</v>
      </c>
      <c r="J123" s="5">
        <v>35000000</v>
      </c>
      <c r="K123" s="5">
        <v>35000000</v>
      </c>
      <c r="L123" s="6">
        <f t="shared" si="1"/>
        <v>120000000</v>
      </c>
    </row>
    <row r="124" spans="1:12">
      <c r="A124" s="1">
        <v>42</v>
      </c>
      <c r="B124" s="3" t="s">
        <v>140</v>
      </c>
      <c r="C124" s="1" t="s">
        <v>13</v>
      </c>
      <c r="D124" s="1" t="s">
        <v>14</v>
      </c>
      <c r="E124" s="4" t="str">
        <v>Kholik</v>
      </c>
      <c r="F124" s="4" t="str">
        <v>Junaidi Ismail</v>
      </c>
      <c r="G124" s="4" t="str">
        <v>Rahmat Depiyar</v>
      </c>
      <c r="H124" s="5">
        <v>16000000</v>
      </c>
      <c r="I124" s="5">
        <v>25000000</v>
      </c>
      <c r="J124" s="5">
        <v>25000000</v>
      </c>
      <c r="K124" s="5">
        <v>25000000</v>
      </c>
      <c r="L124" s="6">
        <f t="shared" si="1"/>
        <v>91000000</v>
      </c>
    </row>
    <row r="125" spans="1:12">
      <c r="A125" s="1">
        <v>51</v>
      </c>
      <c r="B125" s="3" t="s">
        <v>141</v>
      </c>
      <c r="C125" s="1" t="s">
        <v>13</v>
      </c>
      <c r="D125" s="1" t="s">
        <v>14</v>
      </c>
      <c r="E125" s="4" t="str">
        <v>Kholik</v>
      </c>
      <c r="F125" s="4" t="str">
        <v>Junaidi Ismail</v>
      </c>
      <c r="G125" s="4" t="str">
        <v>Rahmat Depiyar</v>
      </c>
      <c r="H125" s="5">
        <v>25000000</v>
      </c>
      <c r="I125" s="5">
        <v>25000000</v>
      </c>
      <c r="J125" s="5">
        <v>35000000</v>
      </c>
      <c r="K125" s="5">
        <v>35000000</v>
      </c>
      <c r="L125" s="6">
        <f t="shared" si="1"/>
        <v>120000000</v>
      </c>
    </row>
    <row r="126" spans="1:12">
      <c r="A126" s="1">
        <v>57</v>
      </c>
      <c r="B126" s="3" t="s">
        <v>142</v>
      </c>
      <c r="C126" s="1" t="s">
        <v>13</v>
      </c>
      <c r="D126" s="1" t="s">
        <v>14</v>
      </c>
      <c r="E126" s="4" t="str">
        <v>Kholik</v>
      </c>
      <c r="F126" s="4" t="str">
        <v>Junaidi Ismail</v>
      </c>
      <c r="G126" s="4" t="str">
        <v>Rahmat Depiyar</v>
      </c>
      <c r="H126" s="5">
        <v>16000000</v>
      </c>
      <c r="I126" s="5">
        <v>25000000</v>
      </c>
      <c r="J126" s="5">
        <v>25000000</v>
      </c>
      <c r="K126" s="5">
        <v>30000000</v>
      </c>
      <c r="L126" s="6">
        <f t="shared" si="1"/>
        <v>96000000</v>
      </c>
    </row>
    <row r="127" spans="1:12">
      <c r="A127" s="1">
        <v>63</v>
      </c>
      <c r="B127" s="3" t="s">
        <v>143</v>
      </c>
      <c r="C127" s="1" t="s">
        <v>13</v>
      </c>
      <c r="D127" s="1" t="s">
        <v>14</v>
      </c>
      <c r="E127" s="4" t="str">
        <v>Kholik</v>
      </c>
      <c r="F127" s="4" t="str">
        <v>Junaidi Ismail</v>
      </c>
      <c r="G127" s="4" t="str">
        <v>Rahmat Depiyar</v>
      </c>
      <c r="H127" s="5">
        <v>16000000</v>
      </c>
      <c r="I127" s="5">
        <v>20000000</v>
      </c>
      <c r="J127" s="5">
        <v>25000000</v>
      </c>
      <c r="K127" s="5">
        <v>25000000</v>
      </c>
      <c r="L127" s="6">
        <f t="shared" si="1"/>
        <v>86000000</v>
      </c>
    </row>
    <row r="128" spans="1:12">
      <c r="A128" s="1">
        <v>97</v>
      </c>
      <c r="B128" s="3" t="s">
        <v>144</v>
      </c>
      <c r="C128" s="1" t="s">
        <v>13</v>
      </c>
      <c r="D128" s="1" t="s">
        <v>14</v>
      </c>
      <c r="E128" s="4" t="str">
        <v>Kholik</v>
      </c>
      <c r="F128" s="4" t="str">
        <v>Junaidi Ismail</v>
      </c>
      <c r="G128" s="4" t="str">
        <v>Rahmat Depiyar</v>
      </c>
      <c r="H128" s="5">
        <v>16000000</v>
      </c>
      <c r="I128" s="5">
        <v>20000000</v>
      </c>
      <c r="J128" s="5">
        <v>25000000</v>
      </c>
      <c r="K128" s="5">
        <v>25000000</v>
      </c>
      <c r="L128" s="6">
        <f t="shared" si="1"/>
        <v>86000000</v>
      </c>
    </row>
    <row r="129" spans="1:12">
      <c r="A129" s="1">
        <v>98</v>
      </c>
      <c r="B129" s="1" t="s">
        <v>145</v>
      </c>
      <c r="C129" s="1" t="s">
        <v>13</v>
      </c>
      <c r="D129" s="1" t="s">
        <v>14</v>
      </c>
      <c r="E129" s="4" t="str">
        <v>Kholik</v>
      </c>
      <c r="F129" s="4" t="str">
        <v>Junaidi Ismail</v>
      </c>
      <c r="G129" s="4" t="str">
        <v>Rahmat Depiyar</v>
      </c>
      <c r="H129" s="5">
        <v>16000000</v>
      </c>
      <c r="I129" s="5">
        <v>25000000</v>
      </c>
      <c r="J129" s="5">
        <v>25000000</v>
      </c>
      <c r="K129" s="5">
        <v>25000000</v>
      </c>
      <c r="L129" s="6">
        <f t="shared" si="1"/>
        <v>91000000</v>
      </c>
    </row>
    <row r="130" spans="1:12">
      <c r="A130" s="1">
        <v>106</v>
      </c>
      <c r="B130" s="3" t="s">
        <v>146</v>
      </c>
      <c r="C130" s="1" t="s">
        <v>13</v>
      </c>
      <c r="D130" s="1" t="s">
        <v>14</v>
      </c>
      <c r="E130" s="4" t="str">
        <v>Kholik</v>
      </c>
      <c r="F130" s="4" t="str">
        <v>Junaidi Ismail</v>
      </c>
      <c r="G130" s="4" t="str">
        <v>Rahmat Depiyar</v>
      </c>
      <c r="H130" s="5">
        <v>16000000</v>
      </c>
      <c r="I130" s="5">
        <v>20000000</v>
      </c>
      <c r="J130" s="5">
        <v>25000000</v>
      </c>
      <c r="K130" s="5">
        <v>25000000</v>
      </c>
      <c r="L130" s="6">
        <f t="shared" ref="L130:L193" si="2">SUM(H130:K130)</f>
        <v>86000000</v>
      </c>
    </row>
    <row r="131" spans="1:12">
      <c r="A131" s="1">
        <v>117</v>
      </c>
      <c r="B131" s="3" t="s">
        <v>147</v>
      </c>
      <c r="C131" s="1" t="s">
        <v>13</v>
      </c>
      <c r="D131" s="1" t="s">
        <v>14</v>
      </c>
      <c r="E131" s="4" t="str">
        <v>Kholik</v>
      </c>
      <c r="F131" s="4" t="str">
        <v>Junaidi Ismail</v>
      </c>
      <c r="G131" s="4" t="str">
        <v>Rahmat Depiyar</v>
      </c>
      <c r="H131" s="5">
        <v>45000000</v>
      </c>
      <c r="I131" s="5">
        <v>50000000</v>
      </c>
      <c r="J131" s="5">
        <v>55000000</v>
      </c>
      <c r="K131" s="5">
        <v>55000000</v>
      </c>
      <c r="L131" s="6">
        <f t="shared" si="2"/>
        <v>205000000</v>
      </c>
    </row>
    <row r="132" spans="1:12">
      <c r="A132" s="1">
        <v>123</v>
      </c>
      <c r="B132" s="3" t="s">
        <v>148</v>
      </c>
      <c r="C132" s="1" t="s">
        <v>13</v>
      </c>
      <c r="D132" s="1" t="s">
        <v>14</v>
      </c>
      <c r="E132" s="4" t="str">
        <v>Kholik</v>
      </c>
      <c r="F132" s="4" t="str">
        <v>Junaidi Ismail</v>
      </c>
      <c r="G132" s="4" t="str">
        <v>Rahmat Depiyar</v>
      </c>
      <c r="H132" s="5">
        <v>16000000</v>
      </c>
      <c r="I132" s="5">
        <v>20000000</v>
      </c>
      <c r="J132" s="5">
        <v>25000000</v>
      </c>
      <c r="K132" s="5">
        <v>25000000</v>
      </c>
      <c r="L132" s="6">
        <f t="shared" si="2"/>
        <v>86000000</v>
      </c>
    </row>
    <row r="133" spans="1:12">
      <c r="A133" s="1">
        <v>199</v>
      </c>
      <c r="B133" s="3" t="s">
        <v>149</v>
      </c>
      <c r="C133" s="1" t="s">
        <v>13</v>
      </c>
      <c r="D133" s="1" t="s">
        <v>14</v>
      </c>
      <c r="E133" s="4" t="str">
        <v>Kholik</v>
      </c>
      <c r="F133" s="4" t="str">
        <v>Junaidi Ismail</v>
      </c>
      <c r="G133" s="4" t="str">
        <v>Rahmat Depiyar</v>
      </c>
      <c r="H133" s="5">
        <v>16000000</v>
      </c>
      <c r="I133" s="5">
        <v>20000000</v>
      </c>
      <c r="J133" s="5">
        <v>25000000</v>
      </c>
      <c r="K133" s="5">
        <v>25000000</v>
      </c>
      <c r="L133" s="6">
        <f t="shared" si="2"/>
        <v>86000000</v>
      </c>
    </row>
    <row r="134" spans="1:12">
      <c r="A134" s="1">
        <v>207</v>
      </c>
      <c r="B134" s="3" t="s">
        <v>150</v>
      </c>
      <c r="C134" s="1" t="s">
        <v>13</v>
      </c>
      <c r="D134" s="1" t="s">
        <v>14</v>
      </c>
      <c r="E134" s="4" t="str">
        <v>Kholik</v>
      </c>
      <c r="F134" s="4" t="str">
        <v>Junaidi Ismail</v>
      </c>
      <c r="G134" s="4" t="str">
        <v>Rahmat Depiyar</v>
      </c>
      <c r="H134" s="5">
        <v>16000000</v>
      </c>
      <c r="I134" s="5">
        <v>20000000</v>
      </c>
      <c r="J134" s="5">
        <v>25000000</v>
      </c>
      <c r="K134" s="5">
        <v>25000000</v>
      </c>
      <c r="L134" s="6">
        <f t="shared" si="2"/>
        <v>86000000</v>
      </c>
    </row>
    <row r="135" spans="1:12">
      <c r="A135" s="1">
        <v>34</v>
      </c>
      <c r="B135" s="3" t="s">
        <v>151</v>
      </c>
      <c r="C135" s="1" t="s">
        <v>13</v>
      </c>
      <c r="D135" s="1" t="s">
        <v>14</v>
      </c>
      <c r="E135" s="4" t="str">
        <v>Rizky</v>
      </c>
      <c r="F135" s="4" t="str">
        <v>Hendra Al Aziz</v>
      </c>
      <c r="G135" s="4" t="str">
        <v>Eis Vindi</v>
      </c>
      <c r="H135" s="5">
        <v>16000000</v>
      </c>
      <c r="I135" s="9">
        <v>25000000</v>
      </c>
      <c r="J135" s="9">
        <v>27000000</v>
      </c>
      <c r="K135" s="9">
        <v>30000000</v>
      </c>
      <c r="L135" s="6">
        <f t="shared" si="2"/>
        <v>98000000</v>
      </c>
    </row>
    <row r="136" spans="1:12">
      <c r="A136" s="1">
        <v>46</v>
      </c>
      <c r="B136" s="5" t="s">
        <v>152</v>
      </c>
      <c r="C136" s="1" t="s">
        <v>13</v>
      </c>
      <c r="D136" s="1" t="s">
        <v>14</v>
      </c>
      <c r="E136" s="4" t="str">
        <v>Rizky</v>
      </c>
      <c r="F136" s="4" t="str">
        <v>Hendra Al Aziz</v>
      </c>
      <c r="G136" s="4" t="str">
        <v>Sopian</v>
      </c>
      <c r="H136" s="5">
        <v>20000000</v>
      </c>
      <c r="I136" s="9">
        <v>25000000</v>
      </c>
      <c r="J136" s="9">
        <v>27000000</v>
      </c>
      <c r="K136" s="9">
        <v>30000000</v>
      </c>
      <c r="L136" s="6">
        <f t="shared" si="2"/>
        <v>102000000</v>
      </c>
    </row>
    <row r="137" spans="1:12">
      <c r="A137" s="1">
        <v>60</v>
      </c>
      <c r="B137" s="3" t="s">
        <v>153</v>
      </c>
      <c r="C137" s="1" t="s">
        <v>13</v>
      </c>
      <c r="D137" s="1" t="s">
        <v>14</v>
      </c>
      <c r="E137" s="4" t="str">
        <v>Rizky</v>
      </c>
      <c r="F137" s="4" t="str">
        <v>Hendra Al Aziz</v>
      </c>
      <c r="G137" s="4" t="str">
        <v>Eis Vindi</v>
      </c>
      <c r="H137" s="5">
        <v>25000000</v>
      </c>
      <c r="I137" s="9">
        <v>32000000</v>
      </c>
      <c r="J137" s="9">
        <v>35000000</v>
      </c>
      <c r="K137" s="9">
        <v>35000000</v>
      </c>
      <c r="L137" s="6">
        <f t="shared" si="2"/>
        <v>127000000</v>
      </c>
    </row>
    <row r="138" spans="1:12">
      <c r="A138" s="1">
        <v>62</v>
      </c>
      <c r="B138" s="3" t="s">
        <v>154</v>
      </c>
      <c r="C138" s="1" t="s">
        <v>13</v>
      </c>
      <c r="D138" s="1" t="s">
        <v>14</v>
      </c>
      <c r="E138" s="4" t="str">
        <v>Rizky</v>
      </c>
      <c r="F138" s="4" t="str">
        <v>Hendra Al Aziz</v>
      </c>
      <c r="G138" s="4" t="str">
        <v>Eis Vindi</v>
      </c>
      <c r="H138" s="5">
        <v>16000000</v>
      </c>
      <c r="I138" s="9">
        <v>20000000</v>
      </c>
      <c r="J138" s="9">
        <v>25000000</v>
      </c>
      <c r="K138" s="9">
        <v>27000000</v>
      </c>
      <c r="L138" s="6">
        <f t="shared" si="2"/>
        <v>88000000</v>
      </c>
    </row>
    <row r="139" spans="1:12">
      <c r="A139" s="1">
        <v>81</v>
      </c>
      <c r="B139" s="3" t="s">
        <v>155</v>
      </c>
      <c r="C139" s="1" t="s">
        <v>13</v>
      </c>
      <c r="D139" s="1" t="s">
        <v>14</v>
      </c>
      <c r="E139" s="4" t="str">
        <v>Rizky</v>
      </c>
      <c r="F139" s="4" t="str">
        <v>Hendra Al Aziz</v>
      </c>
      <c r="G139" s="4" t="str">
        <v>Eis Vindi</v>
      </c>
      <c r="H139" s="5">
        <v>16000000</v>
      </c>
      <c r="I139" s="9">
        <v>25000000</v>
      </c>
      <c r="J139" s="9">
        <v>25000000</v>
      </c>
      <c r="K139" s="9">
        <v>27000000</v>
      </c>
      <c r="L139" s="6">
        <f t="shared" si="2"/>
        <v>93000000</v>
      </c>
    </row>
    <row r="140" spans="1:12">
      <c r="A140" s="1">
        <v>84</v>
      </c>
      <c r="B140" s="3" t="s">
        <v>156</v>
      </c>
      <c r="C140" s="1" t="s">
        <v>13</v>
      </c>
      <c r="D140" s="1" t="s">
        <v>14</v>
      </c>
      <c r="E140" s="4" t="str">
        <v>Rizky</v>
      </c>
      <c r="F140" s="4" t="str">
        <v>Hendra Al Aziz</v>
      </c>
      <c r="G140" s="4" t="str">
        <v>Sopian</v>
      </c>
      <c r="H140" s="5">
        <v>20000000</v>
      </c>
      <c r="I140" s="9">
        <v>25000000</v>
      </c>
      <c r="J140" s="9">
        <v>27000000</v>
      </c>
      <c r="K140" s="9">
        <v>27000000</v>
      </c>
      <c r="L140" s="6">
        <f t="shared" si="2"/>
        <v>99000000</v>
      </c>
    </row>
    <row r="141" spans="1:12">
      <c r="A141" s="1">
        <v>87</v>
      </c>
      <c r="B141" s="3" t="s">
        <v>157</v>
      </c>
      <c r="C141" s="1" t="s">
        <v>13</v>
      </c>
      <c r="D141" s="1" t="s">
        <v>14</v>
      </c>
      <c r="E141" s="4" t="str">
        <v>Rizky</v>
      </c>
      <c r="F141" s="4" t="str">
        <v>Hendra Al Aziz</v>
      </c>
      <c r="G141" s="4" t="str">
        <v>Eis Vindi</v>
      </c>
      <c r="H141" s="5">
        <v>22000000</v>
      </c>
      <c r="I141" s="9">
        <v>35000000</v>
      </c>
      <c r="J141" s="9">
        <v>37000000</v>
      </c>
      <c r="K141" s="9">
        <v>37000000</v>
      </c>
      <c r="L141" s="6">
        <f t="shared" si="2"/>
        <v>131000000</v>
      </c>
    </row>
    <row r="142" spans="1:12">
      <c r="A142" s="1">
        <v>91</v>
      </c>
      <c r="B142" s="1" t="s">
        <v>158</v>
      </c>
      <c r="C142" s="1" t="s">
        <v>13</v>
      </c>
      <c r="D142" s="1" t="s">
        <v>14</v>
      </c>
      <c r="E142" s="4" t="str">
        <v>Rizky</v>
      </c>
      <c r="F142" s="4" t="str">
        <v>Hendra Al Aziz</v>
      </c>
      <c r="G142" s="4" t="str">
        <v>Eis Vindi</v>
      </c>
      <c r="H142" s="5">
        <v>16000000</v>
      </c>
      <c r="I142" s="9">
        <v>22000000</v>
      </c>
      <c r="J142" s="9">
        <v>27000000</v>
      </c>
      <c r="K142" s="9">
        <v>27000000</v>
      </c>
      <c r="L142" s="6">
        <f t="shared" si="2"/>
        <v>92000000</v>
      </c>
    </row>
    <row r="143" spans="1:12">
      <c r="A143" s="1">
        <v>95</v>
      </c>
      <c r="B143" s="3" t="s">
        <v>159</v>
      </c>
      <c r="C143" s="1" t="s">
        <v>13</v>
      </c>
      <c r="D143" s="1" t="s">
        <v>14</v>
      </c>
      <c r="E143" s="4" t="str">
        <v>Rizky</v>
      </c>
      <c r="F143" s="4" t="str">
        <v>Hendra Al Aziz</v>
      </c>
      <c r="G143" s="4" t="str">
        <v>Eis Vindi</v>
      </c>
      <c r="H143" s="5">
        <v>25000000</v>
      </c>
      <c r="I143" s="9">
        <v>37000000</v>
      </c>
      <c r="J143" s="9">
        <v>37000000</v>
      </c>
      <c r="K143" s="9">
        <v>37000000</v>
      </c>
      <c r="L143" s="6">
        <f t="shared" si="2"/>
        <v>136000000</v>
      </c>
    </row>
    <row r="144" spans="1:12">
      <c r="A144" s="1">
        <v>96</v>
      </c>
      <c r="B144" s="5" t="s">
        <v>160</v>
      </c>
      <c r="C144" s="1" t="s">
        <v>13</v>
      </c>
      <c r="D144" s="1" t="s">
        <v>14</v>
      </c>
      <c r="E144" s="4" t="str">
        <v>Rizky</v>
      </c>
      <c r="F144" s="4" t="str">
        <v>Hendra Al Aziz</v>
      </c>
      <c r="G144" s="4" t="str">
        <v>Eis Vindi</v>
      </c>
      <c r="H144" s="5">
        <v>25000000</v>
      </c>
      <c r="I144" s="9">
        <v>35000000</v>
      </c>
      <c r="J144" s="9">
        <v>37000000</v>
      </c>
      <c r="K144" s="9">
        <v>37000000</v>
      </c>
      <c r="L144" s="6">
        <f t="shared" si="2"/>
        <v>134000000</v>
      </c>
    </row>
    <row r="145" spans="1:12">
      <c r="A145" s="1">
        <v>111</v>
      </c>
      <c r="B145" s="1" t="s">
        <v>161</v>
      </c>
      <c r="C145" s="1" t="s">
        <v>13</v>
      </c>
      <c r="D145" s="1" t="s">
        <v>14</v>
      </c>
      <c r="E145" s="4" t="str">
        <v>Rizky</v>
      </c>
      <c r="F145" s="4" t="str">
        <v>Hendra Al Aziz</v>
      </c>
      <c r="G145" s="4" t="str">
        <v>Sopian</v>
      </c>
      <c r="H145" s="5">
        <v>20000000</v>
      </c>
      <c r="I145" s="9">
        <v>25000000</v>
      </c>
      <c r="J145" s="9">
        <v>27000000</v>
      </c>
      <c r="K145" s="9">
        <v>30000000</v>
      </c>
      <c r="L145" s="6">
        <f t="shared" si="2"/>
        <v>102000000</v>
      </c>
    </row>
    <row r="146" spans="1:12">
      <c r="A146" s="1">
        <v>121</v>
      </c>
      <c r="B146" s="3" t="s">
        <v>162</v>
      </c>
      <c r="C146" s="1" t="s">
        <v>13</v>
      </c>
      <c r="D146" s="1" t="s">
        <v>14</v>
      </c>
      <c r="E146" s="4" t="str">
        <v>Rizky</v>
      </c>
      <c r="F146" s="4" t="str">
        <v>Hendra Al Aziz</v>
      </c>
      <c r="G146" s="4" t="str">
        <v>Sopian</v>
      </c>
      <c r="H146" s="5">
        <v>20000000</v>
      </c>
      <c r="I146" s="9">
        <v>25000000</v>
      </c>
      <c r="J146" s="9">
        <v>27000000</v>
      </c>
      <c r="K146" s="9">
        <v>30000000</v>
      </c>
      <c r="L146" s="6">
        <f t="shared" si="2"/>
        <v>102000000</v>
      </c>
    </row>
    <row r="147" spans="1:12">
      <c r="A147" s="1">
        <v>128</v>
      </c>
      <c r="B147" s="5" t="s">
        <v>163</v>
      </c>
      <c r="C147" s="1" t="s">
        <v>13</v>
      </c>
      <c r="D147" s="1" t="s">
        <v>14</v>
      </c>
      <c r="E147" s="4" t="str">
        <v>Rizky</v>
      </c>
      <c r="F147" s="4" t="str">
        <v>Hendra Al Aziz</v>
      </c>
      <c r="G147" s="4" t="str">
        <v>Sopian</v>
      </c>
      <c r="H147" s="5">
        <v>20000000</v>
      </c>
      <c r="I147" s="9">
        <v>25000000</v>
      </c>
      <c r="J147" s="9">
        <v>27000000</v>
      </c>
      <c r="K147" s="9">
        <v>30000000</v>
      </c>
      <c r="L147" s="6">
        <f t="shared" si="2"/>
        <v>102000000</v>
      </c>
    </row>
    <row r="148" spans="1:12">
      <c r="A148" s="1">
        <v>194</v>
      </c>
      <c r="B148" s="1" t="s">
        <v>164</v>
      </c>
      <c r="C148" s="1" t="s">
        <v>13</v>
      </c>
      <c r="D148" s="1" t="s">
        <v>14</v>
      </c>
      <c r="E148" s="4" t="str">
        <v>Rizky</v>
      </c>
      <c r="F148" s="4" t="str">
        <v>Hendra Al Aziz</v>
      </c>
      <c r="G148" s="4" t="str">
        <v>Sopian</v>
      </c>
      <c r="H148" s="5">
        <v>30000000</v>
      </c>
      <c r="I148" s="9">
        <v>35000000</v>
      </c>
      <c r="J148" s="9">
        <v>38000000</v>
      </c>
      <c r="K148" s="9">
        <v>38000000</v>
      </c>
      <c r="L148" s="6">
        <f t="shared" si="2"/>
        <v>141000000</v>
      </c>
    </row>
    <row r="149" spans="1:12">
      <c r="A149" s="1">
        <v>198</v>
      </c>
      <c r="B149" s="3" t="s">
        <v>165</v>
      </c>
      <c r="C149" s="1" t="s">
        <v>13</v>
      </c>
      <c r="D149" s="1" t="s">
        <v>14</v>
      </c>
      <c r="E149" s="4" t="str">
        <v>Rizky</v>
      </c>
      <c r="F149" s="4" t="str">
        <v>Hendra Al Aziz</v>
      </c>
      <c r="G149" s="4" t="str">
        <v>Sopian</v>
      </c>
      <c r="H149" s="5">
        <v>20000000</v>
      </c>
      <c r="I149" s="9">
        <v>25000000</v>
      </c>
      <c r="J149" s="9">
        <v>27000000</v>
      </c>
      <c r="K149" s="9">
        <v>27000000</v>
      </c>
      <c r="L149" s="6">
        <f t="shared" si="2"/>
        <v>99000000</v>
      </c>
    </row>
    <row r="150" spans="1:12">
      <c r="A150" s="1">
        <v>203</v>
      </c>
      <c r="B150" s="3" t="s">
        <v>166</v>
      </c>
      <c r="C150" s="1" t="s">
        <v>13</v>
      </c>
      <c r="D150" s="1" t="s">
        <v>14</v>
      </c>
      <c r="E150" s="4" t="str">
        <v>Rizky</v>
      </c>
      <c r="F150" s="4" t="str">
        <v>Hendra Al Aziz</v>
      </c>
      <c r="G150" s="4" t="str">
        <v>Sopian</v>
      </c>
      <c r="H150" s="5">
        <v>20000000</v>
      </c>
      <c r="I150" s="9">
        <v>25000000</v>
      </c>
      <c r="J150" s="9">
        <v>27000000</v>
      </c>
      <c r="K150" s="9">
        <v>27000000</v>
      </c>
      <c r="L150" s="6">
        <f t="shared" si="2"/>
        <v>99000000</v>
      </c>
    </row>
    <row r="151" spans="1:12">
      <c r="A151" s="1">
        <v>8</v>
      </c>
      <c r="B151" s="3" t="s">
        <v>167</v>
      </c>
      <c r="C151" s="1" t="s">
        <v>62</v>
      </c>
      <c r="D151" s="1" t="s">
        <v>63</v>
      </c>
      <c r="E151" s="4" t="str">
        <v>Ryan</v>
      </c>
      <c r="F151" s="4" t="str">
        <v>Denisahri N. P</v>
      </c>
      <c r="G151" s="4" t="str">
        <v>Hari Suseno</v>
      </c>
      <c r="H151" s="5">
        <v>20000000</v>
      </c>
      <c r="I151" s="5">
        <v>35000000</v>
      </c>
      <c r="J151" s="5">
        <v>35000000</v>
      </c>
      <c r="K151" s="5">
        <v>40000000</v>
      </c>
      <c r="L151" s="6">
        <f t="shared" si="2"/>
        <v>130000000</v>
      </c>
    </row>
    <row r="152" spans="1:12">
      <c r="A152" s="1">
        <v>17</v>
      </c>
      <c r="B152" s="3" t="s">
        <v>168</v>
      </c>
      <c r="C152" s="1" t="s">
        <v>62</v>
      </c>
      <c r="D152" s="1" t="s">
        <v>63</v>
      </c>
      <c r="E152" s="4" t="str">
        <v>Ryan</v>
      </c>
      <c r="F152" s="4" t="str">
        <v>Hendra Al Aziz</v>
      </c>
      <c r="G152" s="4" t="str">
        <v>Eis Vindi</v>
      </c>
      <c r="H152" s="5">
        <v>25000000</v>
      </c>
      <c r="I152" s="9">
        <v>40000000</v>
      </c>
      <c r="J152" s="9">
        <v>45000000</v>
      </c>
      <c r="K152" s="9">
        <v>47000000</v>
      </c>
      <c r="L152" s="6">
        <f t="shared" si="2"/>
        <v>157000000</v>
      </c>
    </row>
    <row r="153" spans="1:12">
      <c r="A153" s="1">
        <v>20</v>
      </c>
      <c r="B153" s="3" t="s">
        <v>169</v>
      </c>
      <c r="C153" s="1" t="s">
        <v>62</v>
      </c>
      <c r="D153" s="1" t="s">
        <v>63</v>
      </c>
      <c r="E153" s="4" t="str">
        <v>Ryan</v>
      </c>
      <c r="F153" s="4" t="str">
        <v>Hendra Al Aziz</v>
      </c>
      <c r="G153" s="4" t="str">
        <v>Eis Vindi</v>
      </c>
      <c r="H153" s="5">
        <v>30000000</v>
      </c>
      <c r="I153" s="9">
        <v>45000000</v>
      </c>
      <c r="J153" s="9">
        <v>50000000</v>
      </c>
      <c r="K153" s="9">
        <v>50000000</v>
      </c>
      <c r="L153" s="6">
        <f t="shared" si="2"/>
        <v>175000000</v>
      </c>
    </row>
    <row r="154" spans="1:12">
      <c r="A154" s="1">
        <v>21</v>
      </c>
      <c r="B154" s="3" t="s">
        <v>170</v>
      </c>
      <c r="C154" s="1" t="s">
        <v>62</v>
      </c>
      <c r="D154" s="1" t="s">
        <v>63</v>
      </c>
      <c r="E154" s="4" t="str">
        <v>Ryan</v>
      </c>
      <c r="F154" s="4" t="str">
        <v>Denisahri N. P</v>
      </c>
      <c r="G154" s="4" t="str">
        <v>Hari Suseno</v>
      </c>
      <c r="H154" s="5">
        <v>16000000</v>
      </c>
      <c r="I154" s="5">
        <v>25000000</v>
      </c>
      <c r="J154" s="5">
        <v>29000000</v>
      </c>
      <c r="K154" s="5">
        <v>30000000</v>
      </c>
      <c r="L154" s="6">
        <f t="shared" si="2"/>
        <v>100000000</v>
      </c>
    </row>
    <row r="155" spans="1:12">
      <c r="A155" s="1">
        <v>22</v>
      </c>
      <c r="B155" s="3" t="s">
        <v>171</v>
      </c>
      <c r="C155" s="1" t="s">
        <v>62</v>
      </c>
      <c r="D155" s="1" t="s">
        <v>63</v>
      </c>
      <c r="E155" s="4" t="str">
        <v>Ryan</v>
      </c>
      <c r="F155" s="4" t="str">
        <v>Hendra Al Aziz</v>
      </c>
      <c r="G155" s="4" t="str">
        <v>Eis Vindi</v>
      </c>
      <c r="H155" s="5">
        <v>35000000</v>
      </c>
      <c r="I155" s="9">
        <v>45000000</v>
      </c>
      <c r="J155" s="9">
        <v>50000000</v>
      </c>
      <c r="K155" s="9">
        <v>50000000</v>
      </c>
      <c r="L155" s="6">
        <f t="shared" si="2"/>
        <v>180000000</v>
      </c>
    </row>
    <row r="156" spans="1:12">
      <c r="A156" s="1">
        <v>23</v>
      </c>
      <c r="B156" s="3" t="s">
        <v>172</v>
      </c>
      <c r="C156" s="1" t="s">
        <v>62</v>
      </c>
      <c r="D156" s="1" t="s">
        <v>63</v>
      </c>
      <c r="E156" s="4" t="str">
        <v>Ryan</v>
      </c>
      <c r="F156" s="4" t="str">
        <v>Denisahri N. P</v>
      </c>
      <c r="G156" s="4" t="str">
        <v>Hari Suseno</v>
      </c>
      <c r="H156" s="5">
        <v>16000000</v>
      </c>
      <c r="I156" s="5">
        <v>24000000</v>
      </c>
      <c r="J156" s="5">
        <v>30000000</v>
      </c>
      <c r="K156" s="5">
        <v>30000000</v>
      </c>
      <c r="L156" s="6">
        <f t="shared" si="2"/>
        <v>100000000</v>
      </c>
    </row>
    <row r="157" spans="1:12">
      <c r="A157" s="1">
        <v>138</v>
      </c>
      <c r="B157" s="3" t="s">
        <v>173</v>
      </c>
      <c r="C157" s="1" t="s">
        <v>62</v>
      </c>
      <c r="D157" s="1" t="s">
        <v>63</v>
      </c>
      <c r="E157" s="4" t="str">
        <v>Ryan</v>
      </c>
      <c r="F157" s="4" t="str">
        <v>Denisahri N. P</v>
      </c>
      <c r="G157" s="4" t="str">
        <v>Hari Suseno</v>
      </c>
      <c r="H157" s="5">
        <v>16000000</v>
      </c>
      <c r="I157" s="5">
        <v>25000000</v>
      </c>
      <c r="J157" s="5">
        <v>29000000</v>
      </c>
      <c r="K157" s="5">
        <v>30000000</v>
      </c>
      <c r="L157" s="6">
        <f t="shared" si="2"/>
        <v>100000000</v>
      </c>
    </row>
    <row r="158" spans="1:12">
      <c r="A158" s="1">
        <v>149</v>
      </c>
      <c r="B158" s="3" t="s">
        <v>174</v>
      </c>
      <c r="C158" s="1" t="s">
        <v>62</v>
      </c>
      <c r="D158" s="1" t="s">
        <v>63</v>
      </c>
      <c r="E158" s="4" t="str">
        <v>Ryan</v>
      </c>
      <c r="F158" s="4" t="str">
        <v>Hendra Al Aziz</v>
      </c>
      <c r="G158" s="4" t="str">
        <v>Eis Vindi</v>
      </c>
      <c r="H158" s="5">
        <v>40000000</v>
      </c>
      <c r="I158" s="9">
        <v>50000000</v>
      </c>
      <c r="J158" s="9">
        <v>55000000</v>
      </c>
      <c r="K158" s="9">
        <v>65000000</v>
      </c>
      <c r="L158" s="6">
        <f t="shared" si="2"/>
        <v>210000000</v>
      </c>
    </row>
    <row r="159" spans="1:12">
      <c r="A159" s="1">
        <v>152</v>
      </c>
      <c r="B159" s="3" t="s">
        <v>175</v>
      </c>
      <c r="C159" s="1" t="s">
        <v>62</v>
      </c>
      <c r="D159" s="1" t="s">
        <v>63</v>
      </c>
      <c r="E159" s="4" t="str">
        <v>Ryan</v>
      </c>
      <c r="F159" s="4" t="str">
        <v>Denisahri N. P</v>
      </c>
      <c r="G159" s="4" t="str">
        <v>Hari Suseno</v>
      </c>
      <c r="H159" s="5">
        <v>20000000</v>
      </c>
      <c r="I159" s="5">
        <v>35000000</v>
      </c>
      <c r="J159" s="5">
        <v>35000000</v>
      </c>
      <c r="K159" s="5">
        <v>40000000</v>
      </c>
      <c r="L159" s="6">
        <f t="shared" si="2"/>
        <v>130000000</v>
      </c>
    </row>
    <row r="160" spans="1:12">
      <c r="A160" s="1">
        <v>155</v>
      </c>
      <c r="B160" s="3" t="s">
        <v>176</v>
      </c>
      <c r="C160" s="1" t="s">
        <v>62</v>
      </c>
      <c r="D160" s="1" t="s">
        <v>63</v>
      </c>
      <c r="E160" s="4" t="str">
        <v>Ryan</v>
      </c>
      <c r="F160" s="4" t="str">
        <v>Hendra Al Aziz</v>
      </c>
      <c r="G160" s="4" t="str">
        <v>Eis Vindi</v>
      </c>
      <c r="H160" s="5">
        <v>35000000</v>
      </c>
      <c r="I160" s="9">
        <v>50000000</v>
      </c>
      <c r="J160" s="9">
        <v>55000000</v>
      </c>
      <c r="K160" s="9">
        <v>55000000</v>
      </c>
      <c r="L160" s="6">
        <f t="shared" si="2"/>
        <v>195000000</v>
      </c>
    </row>
    <row r="161" spans="1:12">
      <c r="A161" s="1">
        <v>167</v>
      </c>
      <c r="B161" s="3" t="s">
        <v>177</v>
      </c>
      <c r="C161" s="1" t="s">
        <v>62</v>
      </c>
      <c r="D161" s="1" t="s">
        <v>63</v>
      </c>
      <c r="E161" s="4" t="str">
        <v>Ryan</v>
      </c>
      <c r="F161" s="4" t="str">
        <v>Hendra Al Aziz</v>
      </c>
      <c r="G161" s="4" t="str">
        <v>Eis Vindi</v>
      </c>
      <c r="H161" s="5">
        <v>35000000</v>
      </c>
      <c r="I161" s="9">
        <v>55000000</v>
      </c>
      <c r="J161" s="9">
        <v>60000000</v>
      </c>
      <c r="K161" s="9">
        <v>57000000</v>
      </c>
      <c r="L161" s="6">
        <f t="shared" si="2"/>
        <v>207000000</v>
      </c>
    </row>
    <row r="162" spans="1:12">
      <c r="A162" s="1">
        <v>172</v>
      </c>
      <c r="B162" s="3" t="s">
        <v>178</v>
      </c>
      <c r="C162" s="1" t="s">
        <v>62</v>
      </c>
      <c r="D162" s="1" t="s">
        <v>63</v>
      </c>
      <c r="E162" s="4" t="str">
        <v>Ryan</v>
      </c>
      <c r="F162" s="4" t="str">
        <v>Hendra Al Aziz</v>
      </c>
      <c r="G162" s="4" t="str">
        <v>Eis Vindi</v>
      </c>
      <c r="H162" s="5">
        <v>80000000</v>
      </c>
      <c r="I162" s="9">
        <v>105000000</v>
      </c>
      <c r="J162" s="9">
        <v>110000000</v>
      </c>
      <c r="K162" s="9">
        <v>115000000</v>
      </c>
      <c r="L162" s="6">
        <f t="shared" si="2"/>
        <v>410000000</v>
      </c>
    </row>
    <row r="163" spans="1:12">
      <c r="A163" s="1">
        <v>180</v>
      </c>
      <c r="B163" s="3" t="s">
        <v>179</v>
      </c>
      <c r="C163" s="1" t="s">
        <v>62</v>
      </c>
      <c r="D163" s="1" t="s">
        <v>63</v>
      </c>
      <c r="E163" s="4" t="str">
        <v>Ryan</v>
      </c>
      <c r="F163" s="4" t="str">
        <v>Denisahri N. P</v>
      </c>
      <c r="G163" s="4" t="str">
        <v>Hari Suseno</v>
      </c>
      <c r="H163" s="5">
        <v>20000000</v>
      </c>
      <c r="I163" s="5">
        <v>25000000</v>
      </c>
      <c r="J163" s="5">
        <v>25000000</v>
      </c>
      <c r="K163" s="5">
        <v>30000000</v>
      </c>
      <c r="L163" s="6">
        <f t="shared" si="2"/>
        <v>100000000</v>
      </c>
    </row>
    <row r="164" spans="1:12">
      <c r="A164" s="1">
        <v>230</v>
      </c>
      <c r="B164" s="3" t="s">
        <v>180</v>
      </c>
      <c r="C164" s="1" t="s">
        <v>62</v>
      </c>
      <c r="D164" s="1" t="s">
        <v>63</v>
      </c>
      <c r="E164" s="4" t="str">
        <v>Ryan</v>
      </c>
      <c r="F164" s="4" t="str">
        <v>Hendra Al Aziz</v>
      </c>
      <c r="G164" s="4" t="str">
        <v>Eis Vindi</v>
      </c>
      <c r="H164" s="5">
        <v>70000000</v>
      </c>
      <c r="I164" s="9">
        <v>105000000</v>
      </c>
      <c r="J164" s="9">
        <v>110000000</v>
      </c>
      <c r="K164" s="9">
        <v>115000000</v>
      </c>
      <c r="L164" s="6">
        <f t="shared" si="2"/>
        <v>400000000</v>
      </c>
    </row>
    <row r="165" spans="1:12">
      <c r="A165" s="1">
        <v>13</v>
      </c>
      <c r="B165" s="3" t="s">
        <v>181</v>
      </c>
      <c r="C165" s="1" t="s">
        <v>62</v>
      </c>
      <c r="D165" s="1" t="s">
        <v>63</v>
      </c>
      <c r="E165" s="4" t="str">
        <v>Sigit</v>
      </c>
      <c r="F165" s="4" t="str">
        <v>Denisahri N. P</v>
      </c>
      <c r="G165" s="4" t="str">
        <v>Hari Suseno</v>
      </c>
      <c r="H165" s="5">
        <v>25000000</v>
      </c>
      <c r="I165" s="5">
        <v>30000000</v>
      </c>
      <c r="J165" s="5">
        <v>30000000</v>
      </c>
      <c r="K165" s="5">
        <v>30000000</v>
      </c>
      <c r="L165" s="6">
        <f t="shared" si="2"/>
        <v>115000000</v>
      </c>
    </row>
    <row r="166" spans="1:12">
      <c r="A166" s="1">
        <v>16</v>
      </c>
      <c r="B166" s="3" t="s">
        <v>182</v>
      </c>
      <c r="C166" s="1" t="s">
        <v>62</v>
      </c>
      <c r="D166" s="1" t="s">
        <v>63</v>
      </c>
      <c r="E166" s="4" t="str">
        <v>Yusuf</v>
      </c>
      <c r="F166" s="4" t="str">
        <v>Denisahri N. P</v>
      </c>
      <c r="G166" s="4" t="str">
        <v>Septania Fathorosi</v>
      </c>
      <c r="H166" s="5">
        <v>40000000</v>
      </c>
      <c r="I166" s="5">
        <v>85000000</v>
      </c>
      <c r="J166" s="5">
        <v>85000000</v>
      </c>
      <c r="K166" s="5">
        <v>85000000</v>
      </c>
      <c r="L166" s="6">
        <f t="shared" si="2"/>
        <v>295000000</v>
      </c>
    </row>
    <row r="167" spans="1:12">
      <c r="A167" s="1">
        <v>148</v>
      </c>
      <c r="B167" s="1" t="s">
        <v>183</v>
      </c>
      <c r="C167" s="1" t="s">
        <v>62</v>
      </c>
      <c r="D167" s="1" t="s">
        <v>63</v>
      </c>
      <c r="E167" s="4" t="str">
        <v>Sigit</v>
      </c>
      <c r="F167" s="4" t="str">
        <v>Denisahri N. P</v>
      </c>
      <c r="G167" s="4" t="str">
        <v>Hari Suseno</v>
      </c>
      <c r="H167" s="5">
        <v>16000000</v>
      </c>
      <c r="I167" s="5">
        <v>25000000</v>
      </c>
      <c r="J167" s="5">
        <v>29000000</v>
      </c>
      <c r="K167" s="5">
        <v>30000000</v>
      </c>
      <c r="L167" s="6">
        <f t="shared" si="2"/>
        <v>100000000</v>
      </c>
    </row>
    <row r="168" spans="1:12">
      <c r="A168" s="1">
        <v>156</v>
      </c>
      <c r="B168" s="3" t="s">
        <v>184</v>
      </c>
      <c r="C168" s="1" t="s">
        <v>62</v>
      </c>
      <c r="D168" s="1" t="s">
        <v>63</v>
      </c>
      <c r="E168" s="4" t="str">
        <v>Sigit</v>
      </c>
      <c r="F168" s="4" t="str">
        <v>Denisahri N. P</v>
      </c>
      <c r="G168" s="4" t="str">
        <v>Hari Suseno</v>
      </c>
      <c r="H168" s="5">
        <v>20000000</v>
      </c>
      <c r="I168" s="5">
        <v>25000000</v>
      </c>
      <c r="J168" s="5">
        <v>30000000</v>
      </c>
      <c r="K168" s="5">
        <v>30000000</v>
      </c>
      <c r="L168" s="6">
        <f t="shared" si="2"/>
        <v>105000000</v>
      </c>
    </row>
    <row r="169" spans="1:12">
      <c r="A169" s="1">
        <v>170</v>
      </c>
      <c r="B169" s="3" t="s">
        <v>185</v>
      </c>
      <c r="C169" s="1" t="s">
        <v>62</v>
      </c>
      <c r="D169" s="1" t="s">
        <v>63</v>
      </c>
      <c r="E169" s="4" t="str">
        <v>Yusuf</v>
      </c>
      <c r="F169" s="4" t="str">
        <v>Denisahri N. P</v>
      </c>
      <c r="G169" s="4" t="str">
        <v>Septania Fathorosi</v>
      </c>
      <c r="H169" s="5">
        <v>150000000</v>
      </c>
      <c r="I169" s="5">
        <v>230000000</v>
      </c>
      <c r="J169" s="5">
        <v>240000000</v>
      </c>
      <c r="K169" s="5">
        <v>250000000</v>
      </c>
      <c r="L169" s="6">
        <f t="shared" si="2"/>
        <v>870000000</v>
      </c>
    </row>
    <row r="170" spans="1:12">
      <c r="A170" s="1">
        <v>186</v>
      </c>
      <c r="B170" s="1" t="s">
        <v>186</v>
      </c>
      <c r="C170" s="1" t="s">
        <v>62</v>
      </c>
      <c r="D170" s="1" t="s">
        <v>63</v>
      </c>
      <c r="E170" s="4" t="str">
        <v>Sigit</v>
      </c>
      <c r="F170" s="1" t="str">
        <v>Denisahri N. P</v>
      </c>
      <c r="G170" s="1" t="str">
        <v>Hari Suseno</v>
      </c>
      <c r="H170" s="5">
        <v>16000000</v>
      </c>
      <c r="I170" s="5">
        <v>25000000</v>
      </c>
      <c r="J170" s="5">
        <v>29000000</v>
      </c>
      <c r="K170" s="5">
        <v>30000000</v>
      </c>
      <c r="L170" s="6">
        <f t="shared" si="2"/>
        <v>100000000</v>
      </c>
    </row>
    <row r="171" spans="1:12">
      <c r="A171" s="1">
        <v>188</v>
      </c>
      <c r="B171" s="3" t="s">
        <v>187</v>
      </c>
      <c r="C171" s="1" t="s">
        <v>62</v>
      </c>
      <c r="D171" s="1" t="s">
        <v>63</v>
      </c>
      <c r="E171" s="4" t="str">
        <v>Sigit</v>
      </c>
      <c r="F171" s="4" t="str">
        <v>Denisahri N. P</v>
      </c>
      <c r="G171" s="4" t="str">
        <v>Hari Suseno</v>
      </c>
      <c r="H171" s="5">
        <v>35000000</v>
      </c>
      <c r="I171" s="5">
        <v>55000000</v>
      </c>
      <c r="J171" s="5">
        <v>65000000</v>
      </c>
      <c r="K171" s="5">
        <v>65000000</v>
      </c>
      <c r="L171" s="6">
        <f t="shared" si="2"/>
        <v>220000000</v>
      </c>
    </row>
    <row r="172" spans="1:12">
      <c r="A172" s="1">
        <v>209</v>
      </c>
      <c r="B172" s="1" t="s">
        <v>188</v>
      </c>
      <c r="C172" s="1" t="s">
        <v>62</v>
      </c>
      <c r="D172" s="1" t="s">
        <v>63</v>
      </c>
      <c r="E172" s="4" t="str">
        <v>Sigit</v>
      </c>
      <c r="F172" s="4" t="str">
        <v>Denisahri N. P</v>
      </c>
      <c r="G172" s="4" t="str">
        <v>Hari Suseno</v>
      </c>
      <c r="H172" s="5">
        <v>16000000</v>
      </c>
      <c r="I172" s="5">
        <v>25000000</v>
      </c>
      <c r="J172" s="5">
        <v>29000000</v>
      </c>
      <c r="K172" s="5">
        <v>30000000</v>
      </c>
      <c r="L172" s="6">
        <f t="shared" si="2"/>
        <v>100000000</v>
      </c>
    </row>
    <row r="173" spans="1:12">
      <c r="A173" s="1">
        <v>215</v>
      </c>
      <c r="B173" s="1" t="s">
        <v>189</v>
      </c>
      <c r="C173" s="1" t="s">
        <v>62</v>
      </c>
      <c r="D173" s="1" t="s">
        <v>63</v>
      </c>
      <c r="E173" s="4" t="str">
        <v>Sigit</v>
      </c>
      <c r="F173" s="4" t="str">
        <v>Denisahri N. P</v>
      </c>
      <c r="G173" s="4" t="str">
        <v>Hari Suseno</v>
      </c>
      <c r="H173" s="5">
        <v>16000000</v>
      </c>
      <c r="I173" s="5">
        <v>25000000</v>
      </c>
      <c r="J173" s="5">
        <v>29000000</v>
      </c>
      <c r="K173" s="5">
        <v>30000000</v>
      </c>
      <c r="L173" s="6">
        <f t="shared" si="2"/>
        <v>100000000</v>
      </c>
    </row>
    <row r="174" spans="1:12">
      <c r="A174" s="1">
        <v>11</v>
      </c>
      <c r="B174" s="3" t="s">
        <v>190</v>
      </c>
      <c r="C174" s="1" t="s">
        <v>62</v>
      </c>
      <c r="D174" s="1" t="s">
        <v>191</v>
      </c>
      <c r="E174" s="4" t="str">
        <v>Tono</v>
      </c>
      <c r="F174" s="4" t="str">
        <v>Junaidi Ismail</v>
      </c>
      <c r="G174" s="4" t="str">
        <v>Yuni Anggraini</v>
      </c>
      <c r="H174" s="5">
        <v>140000000</v>
      </c>
      <c r="I174" s="5">
        <v>165000000</v>
      </c>
      <c r="J174" s="5">
        <v>175000000</v>
      </c>
      <c r="K174" s="5">
        <v>175000000</v>
      </c>
      <c r="L174" s="6">
        <f t="shared" si="2"/>
        <v>655000000</v>
      </c>
    </row>
    <row r="175" spans="1:12">
      <c r="A175" s="1">
        <v>71</v>
      </c>
      <c r="B175" s="3" t="s">
        <v>192</v>
      </c>
      <c r="C175" s="1" t="s">
        <v>13</v>
      </c>
      <c r="D175" s="1" t="s">
        <v>29</v>
      </c>
      <c r="E175" s="4" t="str">
        <v>Tono</v>
      </c>
      <c r="F175" s="4" t="str">
        <v>Junaidi Ismail</v>
      </c>
      <c r="G175" s="4" t="str">
        <v>Yuni Anggraini</v>
      </c>
      <c r="H175" s="5">
        <v>47000000</v>
      </c>
      <c r="I175" s="5">
        <v>60000000</v>
      </c>
      <c r="J175" s="5">
        <v>70000000</v>
      </c>
      <c r="K175" s="5">
        <v>75000000</v>
      </c>
      <c r="L175" s="6">
        <f t="shared" si="2"/>
        <v>252000000</v>
      </c>
    </row>
    <row r="176" spans="1:12">
      <c r="A176" s="1">
        <v>78</v>
      </c>
      <c r="B176" s="1" t="s">
        <v>193</v>
      </c>
      <c r="C176" s="1" t="s">
        <v>13</v>
      </c>
      <c r="D176" s="1" t="s">
        <v>29</v>
      </c>
      <c r="E176" s="4" t="str">
        <v>Tono</v>
      </c>
      <c r="F176" s="4" t="str">
        <v>Junaidi Ismail</v>
      </c>
      <c r="G176" s="4" t="str">
        <v>Yuni Anggraini</v>
      </c>
      <c r="H176" s="5">
        <v>25000000</v>
      </c>
      <c r="I176" s="5">
        <v>25000000</v>
      </c>
      <c r="J176" s="5">
        <v>35000000</v>
      </c>
      <c r="K176" s="5">
        <v>35000000</v>
      </c>
      <c r="L176" s="6">
        <f t="shared" si="2"/>
        <v>120000000</v>
      </c>
    </row>
    <row r="177" spans="1:12">
      <c r="A177" s="1">
        <v>110</v>
      </c>
      <c r="B177" s="3" t="s">
        <v>194</v>
      </c>
      <c r="C177" s="1" t="s">
        <v>13</v>
      </c>
      <c r="D177" s="1" t="s">
        <v>29</v>
      </c>
      <c r="E177" s="4" t="str">
        <v>Tono</v>
      </c>
      <c r="F177" s="4" t="str">
        <v>Junaidi Ismail</v>
      </c>
      <c r="G177" s="4" t="str">
        <v>Yuni Anggraini</v>
      </c>
      <c r="H177" s="5">
        <v>16000000</v>
      </c>
      <c r="I177" s="5">
        <v>25000000</v>
      </c>
      <c r="J177" s="5">
        <v>25000000</v>
      </c>
      <c r="K177" s="5">
        <v>25000000</v>
      </c>
      <c r="L177" s="6">
        <f t="shared" si="2"/>
        <v>91000000</v>
      </c>
    </row>
    <row r="178" spans="1:12">
      <c r="A178" s="1">
        <v>116</v>
      </c>
      <c r="B178" s="3" t="s">
        <v>195</v>
      </c>
      <c r="C178" s="1" t="s">
        <v>13</v>
      </c>
      <c r="D178" s="1" t="s">
        <v>29</v>
      </c>
      <c r="E178" s="4" t="str">
        <v>Tono</v>
      </c>
      <c r="F178" s="4" t="str">
        <v>Junaidi Ismail</v>
      </c>
      <c r="G178" s="4" t="str">
        <v>Yuni Anggraini</v>
      </c>
      <c r="H178" s="5">
        <v>16000000</v>
      </c>
      <c r="I178" s="5">
        <v>20000000</v>
      </c>
      <c r="J178" s="5">
        <v>25000000</v>
      </c>
      <c r="K178" s="5">
        <v>25000000</v>
      </c>
      <c r="L178" s="6">
        <f t="shared" si="2"/>
        <v>86000000</v>
      </c>
    </row>
    <row r="179" spans="1:12">
      <c r="A179" s="1">
        <v>129</v>
      </c>
      <c r="B179" s="5" t="s">
        <v>196</v>
      </c>
      <c r="C179" s="1" t="s">
        <v>13</v>
      </c>
      <c r="D179" s="1" t="s">
        <v>29</v>
      </c>
      <c r="E179" s="4" t="str">
        <v>Tono</v>
      </c>
      <c r="F179" s="4" t="str">
        <v>Junaidi Ismail</v>
      </c>
      <c r="G179" s="4" t="str">
        <v>Yuni Anggraini</v>
      </c>
      <c r="H179" s="5">
        <v>16000000</v>
      </c>
      <c r="I179" s="5">
        <v>25000000</v>
      </c>
      <c r="J179" s="5">
        <v>25000000</v>
      </c>
      <c r="K179" s="5">
        <v>25000000</v>
      </c>
      <c r="L179" s="6">
        <f t="shared" si="2"/>
        <v>91000000</v>
      </c>
    </row>
    <row r="180" spans="1:12">
      <c r="A180" s="1">
        <v>141</v>
      </c>
      <c r="B180" s="1" t="s">
        <v>197</v>
      </c>
      <c r="C180" s="1" t="s">
        <v>62</v>
      </c>
      <c r="D180" s="1" t="s">
        <v>191</v>
      </c>
      <c r="E180" s="4" t="str">
        <v>Tono</v>
      </c>
      <c r="F180" s="4" t="str">
        <v>Junaidi Ismail</v>
      </c>
      <c r="G180" s="4" t="str">
        <v>Yuni Anggraini</v>
      </c>
      <c r="H180" s="5">
        <v>85000000</v>
      </c>
      <c r="I180" s="5">
        <v>105000000</v>
      </c>
      <c r="J180" s="5">
        <v>115000000</v>
      </c>
      <c r="K180" s="5">
        <v>120000000</v>
      </c>
      <c r="L180" s="6">
        <f t="shared" si="2"/>
        <v>425000000</v>
      </c>
    </row>
    <row r="181" spans="1:12">
      <c r="A181" s="1">
        <v>159</v>
      </c>
      <c r="B181" s="3" t="s">
        <v>198</v>
      </c>
      <c r="C181" s="1" t="s">
        <v>62</v>
      </c>
      <c r="D181" s="1" t="s">
        <v>191</v>
      </c>
      <c r="E181" s="4" t="str">
        <v>Tono</v>
      </c>
      <c r="F181" s="4" t="str">
        <v>Junaidi Ismail</v>
      </c>
      <c r="G181" s="4" t="str">
        <v>Yuni Anggraini</v>
      </c>
      <c r="H181" s="5">
        <v>225000000</v>
      </c>
      <c r="I181" s="5">
        <v>240000000</v>
      </c>
      <c r="J181" s="5">
        <v>260000000</v>
      </c>
      <c r="K181" s="5">
        <v>265000000</v>
      </c>
      <c r="L181" s="6">
        <f t="shared" si="2"/>
        <v>990000000</v>
      </c>
    </row>
    <row r="182" spans="1:12">
      <c r="A182" s="1">
        <v>219</v>
      </c>
      <c r="B182" s="3" t="s">
        <v>199</v>
      </c>
      <c r="C182" s="1" t="s">
        <v>62</v>
      </c>
      <c r="D182" s="1" t="s">
        <v>191</v>
      </c>
      <c r="E182" s="4" t="str">
        <v>Tono</v>
      </c>
      <c r="F182" s="4" t="str">
        <v>Junaidi Ismail</v>
      </c>
      <c r="G182" s="4" t="str">
        <v>Yuni Anggraini</v>
      </c>
      <c r="H182" s="5">
        <v>240000000</v>
      </c>
      <c r="I182" s="5">
        <v>255000000</v>
      </c>
      <c r="J182" s="5">
        <v>275000000</v>
      </c>
      <c r="K182" s="5">
        <v>280000000</v>
      </c>
      <c r="L182" s="6">
        <f t="shared" si="2"/>
        <v>1050000000</v>
      </c>
    </row>
    <row r="183" spans="1:12">
      <c r="A183" s="1">
        <v>44</v>
      </c>
      <c r="B183" s="1" t="s">
        <v>200</v>
      </c>
      <c r="C183" s="1" t="s">
        <v>13</v>
      </c>
      <c r="D183" s="1" t="s">
        <v>29</v>
      </c>
      <c r="E183" s="4" t="str">
        <v>Yudhis</v>
      </c>
      <c r="F183" s="1" t="str">
        <v>Denisahri N. P</v>
      </c>
      <c r="G183" s="1" t="str">
        <v>Hari Suseno</v>
      </c>
      <c r="H183" s="5">
        <v>16000000</v>
      </c>
      <c r="I183" s="5">
        <v>18000000</v>
      </c>
      <c r="J183" s="5">
        <v>18000000</v>
      </c>
      <c r="K183" s="5">
        <v>20000000</v>
      </c>
      <c r="L183" s="6">
        <f t="shared" si="2"/>
        <v>72000000</v>
      </c>
    </row>
    <row r="184" spans="1:12">
      <c r="A184" s="1">
        <v>45</v>
      </c>
      <c r="B184" s="5" t="s">
        <v>201</v>
      </c>
      <c r="C184" s="1" t="s">
        <v>13</v>
      </c>
      <c r="D184" s="1" t="s">
        <v>29</v>
      </c>
      <c r="E184" s="4" t="str">
        <v>Yudhis</v>
      </c>
      <c r="F184" s="4" t="str">
        <v>Denisahri N. P</v>
      </c>
      <c r="G184" s="4" t="str">
        <v>Hari Suseno</v>
      </c>
      <c r="H184" s="5">
        <v>16000000</v>
      </c>
      <c r="I184" s="5">
        <v>18000000</v>
      </c>
      <c r="J184" s="5">
        <v>20000000</v>
      </c>
      <c r="K184" s="5">
        <v>20000000</v>
      </c>
      <c r="L184" s="6">
        <f t="shared" si="2"/>
        <v>74000000</v>
      </c>
    </row>
    <row r="185" spans="1:12">
      <c r="A185" s="1">
        <v>49</v>
      </c>
      <c r="B185" s="3" t="s">
        <v>202</v>
      </c>
      <c r="C185" s="1" t="s">
        <v>13</v>
      </c>
      <c r="D185" s="1" t="s">
        <v>29</v>
      </c>
      <c r="E185" s="4" t="str">
        <v>Yudhis</v>
      </c>
      <c r="F185" s="4" t="str">
        <v>Denisahri N. P</v>
      </c>
      <c r="G185" s="4" t="str">
        <v>Hari Suseno</v>
      </c>
      <c r="H185" s="5">
        <v>16000000</v>
      </c>
      <c r="I185" s="5">
        <v>20000000</v>
      </c>
      <c r="J185" s="5">
        <v>20000000</v>
      </c>
      <c r="K185" s="5">
        <v>20000000</v>
      </c>
      <c r="L185" s="6">
        <f t="shared" si="2"/>
        <v>76000000</v>
      </c>
    </row>
    <row r="186" spans="1:12">
      <c r="A186" s="1">
        <v>54</v>
      </c>
      <c r="B186" s="11" t="s">
        <v>203</v>
      </c>
      <c r="C186" s="1" t="s">
        <v>13</v>
      </c>
      <c r="D186" s="1" t="s">
        <v>29</v>
      </c>
      <c r="E186" s="4" t="str">
        <v>Yudhis</v>
      </c>
      <c r="F186" s="4" t="str">
        <v>Denisahri N. P</v>
      </c>
      <c r="G186" s="4" t="str">
        <v>Hari Suseno</v>
      </c>
      <c r="H186" s="5">
        <v>16000000</v>
      </c>
      <c r="I186" s="5">
        <v>20000000</v>
      </c>
      <c r="J186" s="5">
        <v>25000000</v>
      </c>
      <c r="K186" s="5">
        <v>30000000</v>
      </c>
      <c r="L186" s="6">
        <f t="shared" si="2"/>
        <v>91000000</v>
      </c>
    </row>
    <row r="187" spans="1:12">
      <c r="A187" s="1">
        <v>55</v>
      </c>
      <c r="B187" s="3" t="s">
        <v>204</v>
      </c>
      <c r="C187" s="1" t="s">
        <v>13</v>
      </c>
      <c r="D187" s="1" t="s">
        <v>29</v>
      </c>
      <c r="E187" s="4" t="str">
        <v>Yudhis</v>
      </c>
      <c r="F187" s="4" t="str">
        <v>Denisahri N. P</v>
      </c>
      <c r="G187" s="4" t="str">
        <v>Septania Fathorosi</v>
      </c>
      <c r="H187" s="5">
        <v>16000000</v>
      </c>
      <c r="I187" s="5">
        <v>20000000</v>
      </c>
      <c r="J187" s="5">
        <v>20000000</v>
      </c>
      <c r="K187" s="5">
        <v>25000000</v>
      </c>
      <c r="L187" s="6">
        <f t="shared" si="2"/>
        <v>81000000</v>
      </c>
    </row>
    <row r="188" spans="1:12">
      <c r="A188" s="1">
        <v>73</v>
      </c>
      <c r="B188" s="5" t="s">
        <v>205</v>
      </c>
      <c r="C188" s="1" t="s">
        <v>13</v>
      </c>
      <c r="D188" s="1" t="s">
        <v>29</v>
      </c>
      <c r="E188" s="4" t="str">
        <v>Yudhis</v>
      </c>
      <c r="F188" s="4" t="str">
        <v>Denisahri N. P</v>
      </c>
      <c r="G188" s="4" t="str">
        <v>Septania Fathorosi</v>
      </c>
      <c r="H188" s="5">
        <v>16000000</v>
      </c>
      <c r="I188" s="5">
        <v>20000000</v>
      </c>
      <c r="J188" s="5">
        <v>35000000</v>
      </c>
      <c r="K188" s="5">
        <v>35000000</v>
      </c>
      <c r="L188" s="6">
        <f t="shared" si="2"/>
        <v>106000000</v>
      </c>
    </row>
    <row r="189" spans="1:12">
      <c r="A189" s="1">
        <v>76</v>
      </c>
      <c r="B189" s="3" t="s">
        <v>206</v>
      </c>
      <c r="C189" s="1" t="s">
        <v>13</v>
      </c>
      <c r="D189" s="1" t="s">
        <v>29</v>
      </c>
      <c r="E189" s="4" t="str">
        <v>Yudhis</v>
      </c>
      <c r="F189" s="4" t="str">
        <v>Denisahri N. P</v>
      </c>
      <c r="G189" s="4" t="str">
        <v>Septania Fathorosi</v>
      </c>
      <c r="H189" s="5">
        <v>16000000</v>
      </c>
      <c r="I189" s="5">
        <v>20000000</v>
      </c>
      <c r="J189" s="5">
        <v>25000000</v>
      </c>
      <c r="K189" s="5">
        <v>25000000</v>
      </c>
      <c r="L189" s="6">
        <f t="shared" si="2"/>
        <v>86000000</v>
      </c>
    </row>
    <row r="190" spans="1:12">
      <c r="A190" s="1">
        <v>83</v>
      </c>
      <c r="B190" s="3" t="s">
        <v>207</v>
      </c>
      <c r="C190" s="1" t="s">
        <v>13</v>
      </c>
      <c r="D190" s="1" t="s">
        <v>29</v>
      </c>
      <c r="E190" s="4" t="str">
        <v>Eman</v>
      </c>
      <c r="F190" s="5" t="str">
        <v>Denisahri N. P</v>
      </c>
      <c r="G190" s="4" t="str">
        <v>Hari Suseno</v>
      </c>
      <c r="H190" s="5">
        <v>16000000</v>
      </c>
      <c r="I190" s="5">
        <v>20000000</v>
      </c>
      <c r="J190" s="5">
        <v>20000000</v>
      </c>
      <c r="K190" s="5">
        <v>20000000</v>
      </c>
      <c r="L190" s="6">
        <f t="shared" si="2"/>
        <v>76000000</v>
      </c>
    </row>
    <row r="191" spans="1:12">
      <c r="A191" s="1">
        <v>86</v>
      </c>
      <c r="B191" s="3" t="s">
        <v>208</v>
      </c>
      <c r="C191" s="1" t="s">
        <v>13</v>
      </c>
      <c r="D191" s="1" t="s">
        <v>29</v>
      </c>
      <c r="E191" s="4" t="str">
        <v>Yudhis</v>
      </c>
      <c r="F191" s="4" t="str">
        <v>Denisahri N. P</v>
      </c>
      <c r="G191" s="4" t="str">
        <v>Septania Fathorosi</v>
      </c>
      <c r="H191" s="5">
        <v>16000000</v>
      </c>
      <c r="I191" s="5">
        <v>20000000</v>
      </c>
      <c r="J191" s="5">
        <v>20000000</v>
      </c>
      <c r="K191" s="5">
        <v>25000000</v>
      </c>
      <c r="L191" s="6">
        <f t="shared" si="2"/>
        <v>81000000</v>
      </c>
    </row>
    <row r="192" spans="1:12">
      <c r="A192" s="1">
        <v>92</v>
      </c>
      <c r="B192" s="1" t="s">
        <v>209</v>
      </c>
      <c r="C192" s="1" t="s">
        <v>13</v>
      </c>
      <c r="D192" s="1" t="s">
        <v>29</v>
      </c>
      <c r="E192" s="4" t="str">
        <v>Yudhis</v>
      </c>
      <c r="F192" s="4" t="str">
        <v>Denisahri N. P</v>
      </c>
      <c r="G192" s="4" t="str">
        <v>Septania Fathorosi</v>
      </c>
      <c r="H192" s="5">
        <v>16000000</v>
      </c>
      <c r="I192" s="5">
        <v>18000000</v>
      </c>
      <c r="J192" s="5">
        <v>20000000</v>
      </c>
      <c r="K192" s="5">
        <v>20000000</v>
      </c>
      <c r="L192" s="6">
        <f t="shared" si="2"/>
        <v>74000000</v>
      </c>
    </row>
    <row r="193" spans="1:12">
      <c r="A193" s="1">
        <v>101</v>
      </c>
      <c r="B193" s="3" t="s">
        <v>210</v>
      </c>
      <c r="C193" s="1" t="s">
        <v>13</v>
      </c>
      <c r="D193" s="1" t="s">
        <v>29</v>
      </c>
      <c r="E193" s="4" t="str">
        <v>Yudhis</v>
      </c>
      <c r="F193" s="4" t="str">
        <v>Denisahri N. P</v>
      </c>
      <c r="G193" s="4" t="str">
        <v>Septania Fathorosi</v>
      </c>
      <c r="H193" s="5">
        <v>16000000</v>
      </c>
      <c r="I193" s="5">
        <v>18000000</v>
      </c>
      <c r="J193" s="5">
        <v>20000000</v>
      </c>
      <c r="K193" s="5">
        <v>20000000</v>
      </c>
      <c r="L193" s="6">
        <f t="shared" si="2"/>
        <v>74000000</v>
      </c>
    </row>
    <row r="194" spans="1:12">
      <c r="A194" s="1">
        <v>108</v>
      </c>
      <c r="B194" s="12" t="s">
        <v>211</v>
      </c>
      <c r="C194" s="1" t="s">
        <v>13</v>
      </c>
      <c r="D194" s="1" t="s">
        <v>29</v>
      </c>
      <c r="E194" s="4" t="str">
        <v>Yudhis</v>
      </c>
      <c r="F194" s="4" t="str">
        <v>Denisahri N. P</v>
      </c>
      <c r="G194" s="4" t="str">
        <v>Septania Fathorosi</v>
      </c>
      <c r="H194" s="5">
        <v>16000000</v>
      </c>
      <c r="I194" s="5">
        <v>20000000</v>
      </c>
      <c r="J194" s="5">
        <v>20000000</v>
      </c>
      <c r="K194" s="5">
        <v>22000000</v>
      </c>
      <c r="L194" s="6">
        <f t="shared" ref="L194:L231" si="3">SUM(H194:K194)</f>
        <v>78000000</v>
      </c>
    </row>
    <row r="195" spans="1:12">
      <c r="A195" s="1">
        <v>122</v>
      </c>
      <c r="B195" s="5" t="s">
        <v>212</v>
      </c>
      <c r="C195" s="1" t="s">
        <v>13</v>
      </c>
      <c r="D195" s="1" t="s">
        <v>29</v>
      </c>
      <c r="E195" s="4" t="str">
        <v>Yudhis</v>
      </c>
      <c r="F195" s="4" t="str">
        <v>Denisahri N. P</v>
      </c>
      <c r="G195" s="4" t="str">
        <v>Septania Fathorosi</v>
      </c>
      <c r="H195" s="5">
        <v>16000000</v>
      </c>
      <c r="I195" s="5">
        <v>18000000</v>
      </c>
      <c r="J195" s="5">
        <v>18000000</v>
      </c>
      <c r="K195" s="5">
        <v>20000000</v>
      </c>
      <c r="L195" s="6">
        <f t="shared" si="3"/>
        <v>72000000</v>
      </c>
    </row>
    <row r="196" spans="1:12">
      <c r="A196" s="1">
        <v>132</v>
      </c>
      <c r="B196" s="3" t="s">
        <v>213</v>
      </c>
      <c r="C196" s="1" t="s">
        <v>13</v>
      </c>
      <c r="D196" s="1" t="s">
        <v>29</v>
      </c>
      <c r="E196" s="4" t="str">
        <v>Yudhis</v>
      </c>
      <c r="F196" s="4" t="str">
        <v>Denisahri N. P</v>
      </c>
      <c r="G196" s="4" t="str">
        <v>Septania Fathorosi</v>
      </c>
      <c r="H196" s="5">
        <v>16000000</v>
      </c>
      <c r="I196" s="5">
        <v>25000000</v>
      </c>
      <c r="J196" s="5">
        <v>30000000</v>
      </c>
      <c r="K196" s="5">
        <v>35000000</v>
      </c>
      <c r="L196" s="6">
        <f t="shared" si="3"/>
        <v>106000000</v>
      </c>
    </row>
    <row r="197" spans="1:12">
      <c r="A197" s="1">
        <v>133</v>
      </c>
      <c r="B197" s="3" t="s">
        <v>214</v>
      </c>
      <c r="C197" s="1" t="s">
        <v>13</v>
      </c>
      <c r="D197" s="1" t="s">
        <v>29</v>
      </c>
      <c r="E197" s="4" t="str">
        <v>Yudhis</v>
      </c>
      <c r="F197" s="4" t="str">
        <v>Denisahri N. P</v>
      </c>
      <c r="G197" s="4" t="str">
        <v>Septania Fathorosi</v>
      </c>
      <c r="H197" s="5">
        <v>16000000</v>
      </c>
      <c r="I197" s="5">
        <v>30000000</v>
      </c>
      <c r="J197" s="5">
        <v>40000000</v>
      </c>
      <c r="K197" s="5">
        <v>40000000</v>
      </c>
      <c r="L197" s="6">
        <f t="shared" si="3"/>
        <v>126000000</v>
      </c>
    </row>
    <row r="198" spans="1:12">
      <c r="A198" s="1">
        <v>179</v>
      </c>
      <c r="B198" s="3" t="s">
        <v>215</v>
      </c>
      <c r="C198" s="1" t="s">
        <v>13</v>
      </c>
      <c r="D198" s="1" t="s">
        <v>29</v>
      </c>
      <c r="E198" s="4" t="str">
        <v>Yudhis</v>
      </c>
      <c r="F198" s="4" t="str">
        <v>Denisahri N. P</v>
      </c>
      <c r="G198" s="4" t="str">
        <v>Septania Fathorosi</v>
      </c>
      <c r="H198" s="5">
        <v>0</v>
      </c>
      <c r="I198" s="5"/>
      <c r="J198" s="5"/>
      <c r="K198" s="5"/>
      <c r="L198" s="6">
        <f t="shared" si="3"/>
        <v>0</v>
      </c>
    </row>
    <row r="199" spans="1:12">
      <c r="A199" s="1">
        <v>200</v>
      </c>
      <c r="B199" s="3" t="s">
        <v>216</v>
      </c>
      <c r="C199" s="1" t="s">
        <v>13</v>
      </c>
      <c r="D199" s="1" t="s">
        <v>29</v>
      </c>
      <c r="E199" s="4" t="str">
        <v>Yudhis</v>
      </c>
      <c r="F199" s="4" t="str">
        <v>Denisahri N. P</v>
      </c>
      <c r="G199" s="4" t="str">
        <v>Septania Fathorosi</v>
      </c>
      <c r="H199" s="5">
        <v>16000000</v>
      </c>
      <c r="I199" s="5">
        <v>20000000</v>
      </c>
      <c r="J199" s="5">
        <v>20000000</v>
      </c>
      <c r="K199" s="5">
        <v>20000000</v>
      </c>
      <c r="L199" s="6">
        <f t="shared" si="3"/>
        <v>76000000</v>
      </c>
    </row>
    <row r="200" spans="1:12">
      <c r="A200" s="1">
        <v>7</v>
      </c>
      <c r="B200" s="3" t="s">
        <v>217</v>
      </c>
      <c r="C200" s="1" t="s">
        <v>62</v>
      </c>
      <c r="D200" s="1" t="s">
        <v>191</v>
      </c>
      <c r="E200" s="4" t="str">
        <v>Yudistira</v>
      </c>
      <c r="F200" s="5" t="str">
        <v>Denisahri N. P</v>
      </c>
      <c r="G200" s="4" t="str">
        <v>Eko Budi Setiawan</v>
      </c>
      <c r="H200" s="5">
        <v>16000000</v>
      </c>
      <c r="I200" s="5">
        <v>25000000</v>
      </c>
      <c r="J200" s="5">
        <v>24000000</v>
      </c>
      <c r="K200" s="5">
        <v>35000000</v>
      </c>
      <c r="L200" s="6">
        <f t="shared" si="3"/>
        <v>100000000</v>
      </c>
    </row>
    <row r="201" spans="1:12">
      <c r="A201" s="1">
        <v>143</v>
      </c>
      <c r="B201" s="3" t="s">
        <v>218</v>
      </c>
      <c r="C201" s="1" t="s">
        <v>62</v>
      </c>
      <c r="D201" s="1" t="s">
        <v>191</v>
      </c>
      <c r="E201" s="4" t="str">
        <v>Yudistira</v>
      </c>
      <c r="F201" s="5" t="str">
        <v>Denisahri N. P</v>
      </c>
      <c r="G201" s="4" t="str">
        <v>Eko Budi Setiawan</v>
      </c>
      <c r="H201" s="5">
        <v>25000000</v>
      </c>
      <c r="I201" s="5">
        <v>28000000</v>
      </c>
      <c r="J201" s="5">
        <v>30000000</v>
      </c>
      <c r="K201" s="5">
        <v>30000000</v>
      </c>
      <c r="L201" s="6">
        <f t="shared" si="3"/>
        <v>113000000</v>
      </c>
    </row>
    <row r="202" spans="1:12">
      <c r="A202" s="1">
        <v>147</v>
      </c>
      <c r="B202" s="1" t="s">
        <v>219</v>
      </c>
      <c r="C202" s="1" t="s">
        <v>62</v>
      </c>
      <c r="D202" s="1" t="s">
        <v>191</v>
      </c>
      <c r="E202" s="4" t="str">
        <v>Yudistira</v>
      </c>
      <c r="F202" s="5" t="str">
        <v>Denisahri N. P</v>
      </c>
      <c r="G202" s="4" t="str">
        <v>Eko Budi Setiawan</v>
      </c>
      <c r="H202" s="5">
        <v>50000000</v>
      </c>
      <c r="I202" s="5">
        <v>55000000</v>
      </c>
      <c r="J202" s="5">
        <v>60000000</v>
      </c>
      <c r="K202" s="5">
        <v>60000000</v>
      </c>
      <c r="L202" s="6">
        <f t="shared" si="3"/>
        <v>225000000</v>
      </c>
    </row>
    <row r="203" spans="1:12">
      <c r="A203" s="1">
        <v>158</v>
      </c>
      <c r="B203" s="3" t="s">
        <v>220</v>
      </c>
      <c r="C203" s="1" t="s">
        <v>62</v>
      </c>
      <c r="D203" s="1" t="s">
        <v>191</v>
      </c>
      <c r="E203" s="4" t="str">
        <v>Yudistira</v>
      </c>
      <c r="F203" s="5" t="str">
        <v>Denisahri N. P</v>
      </c>
      <c r="G203" s="4" t="str">
        <v>Eko Budi Setiawan</v>
      </c>
      <c r="H203" s="5">
        <v>35000000</v>
      </c>
      <c r="I203" s="5">
        <v>40000000</v>
      </c>
      <c r="J203" s="5">
        <v>40000000</v>
      </c>
      <c r="K203" s="5">
        <v>40000000</v>
      </c>
      <c r="L203" s="6">
        <f t="shared" si="3"/>
        <v>155000000</v>
      </c>
    </row>
    <row r="204" spans="1:12">
      <c r="A204" s="1">
        <v>164</v>
      </c>
      <c r="B204" s="3" t="s">
        <v>221</v>
      </c>
      <c r="C204" s="1" t="s">
        <v>62</v>
      </c>
      <c r="D204" s="1" t="s">
        <v>191</v>
      </c>
      <c r="E204" s="4" t="str">
        <v>Yudistira</v>
      </c>
      <c r="F204" s="5" t="str">
        <v>Denisahri N. P</v>
      </c>
      <c r="G204" s="4" t="str">
        <v>Eko Budi Setiawan</v>
      </c>
      <c r="H204" s="5">
        <v>20000000</v>
      </c>
      <c r="I204" s="5">
        <v>40000000</v>
      </c>
      <c r="J204" s="5">
        <v>45000000</v>
      </c>
      <c r="K204" s="5">
        <v>50000000</v>
      </c>
      <c r="L204" s="6">
        <f t="shared" si="3"/>
        <v>155000000</v>
      </c>
    </row>
    <row r="205" spans="1:12">
      <c r="A205" s="1">
        <v>168</v>
      </c>
      <c r="B205" s="3" t="s">
        <v>222</v>
      </c>
      <c r="C205" s="1" t="s">
        <v>62</v>
      </c>
      <c r="D205" s="1" t="s">
        <v>191</v>
      </c>
      <c r="E205" s="4" t="str">
        <v>Yudistira</v>
      </c>
      <c r="F205" s="5" t="str">
        <v>Denisahri N. P</v>
      </c>
      <c r="G205" s="4" t="str">
        <v>Eko Budi Setiawan</v>
      </c>
      <c r="H205" s="5">
        <v>30000000</v>
      </c>
      <c r="I205" s="5">
        <v>35000000</v>
      </c>
      <c r="J205" s="5">
        <v>40000000</v>
      </c>
      <c r="K205" s="5">
        <v>40000000</v>
      </c>
      <c r="L205" s="6">
        <f t="shared" si="3"/>
        <v>145000000</v>
      </c>
    </row>
    <row r="206" spans="1:12">
      <c r="A206" s="1">
        <v>171</v>
      </c>
      <c r="B206" s="3" t="s">
        <v>223</v>
      </c>
      <c r="C206" s="1" t="s">
        <v>62</v>
      </c>
      <c r="D206" s="1" t="s">
        <v>191</v>
      </c>
      <c r="E206" s="4" t="str">
        <v>Yudistira</v>
      </c>
      <c r="F206" s="5" t="str">
        <v>Denisahri N. P</v>
      </c>
      <c r="G206" s="4" t="str">
        <v>Eko Budi Setiawan</v>
      </c>
      <c r="H206" s="5">
        <v>25000000</v>
      </c>
      <c r="I206" s="5">
        <v>40000000</v>
      </c>
      <c r="J206" s="5">
        <v>45000000</v>
      </c>
      <c r="K206" s="5">
        <v>45000000</v>
      </c>
      <c r="L206" s="6">
        <f t="shared" si="3"/>
        <v>155000000</v>
      </c>
    </row>
    <row r="207" spans="1:12">
      <c r="A207" s="1">
        <v>190</v>
      </c>
      <c r="B207" s="3" t="s">
        <v>224</v>
      </c>
      <c r="C207" s="1" t="s">
        <v>62</v>
      </c>
      <c r="D207" s="1" t="s">
        <v>191</v>
      </c>
      <c r="E207" s="4" t="str">
        <v>Yudistira</v>
      </c>
      <c r="F207" s="5" t="str">
        <v>Denisahri N. P</v>
      </c>
      <c r="G207" s="4" t="str">
        <v>Eko Budi Setiawan</v>
      </c>
      <c r="H207" s="5">
        <v>20000000</v>
      </c>
      <c r="I207" s="5">
        <v>25000000</v>
      </c>
      <c r="J207" s="5">
        <v>25000000</v>
      </c>
      <c r="K207" s="5">
        <v>30000000</v>
      </c>
      <c r="L207" s="6">
        <f t="shared" si="3"/>
        <v>100000000</v>
      </c>
    </row>
    <row r="208" spans="1:12">
      <c r="A208" s="1">
        <v>208</v>
      </c>
      <c r="B208" s="3" t="s">
        <v>225</v>
      </c>
      <c r="C208" s="1" t="s">
        <v>62</v>
      </c>
      <c r="D208" s="1" t="s">
        <v>191</v>
      </c>
      <c r="E208" s="4" t="str">
        <v>Yudistira</v>
      </c>
      <c r="F208" s="5" t="str">
        <v>Denisahri N. P</v>
      </c>
      <c r="G208" s="4" t="str">
        <v>Eko Budi Setiawan</v>
      </c>
      <c r="H208" s="5">
        <v>20000000</v>
      </c>
      <c r="I208" s="5">
        <v>35000000</v>
      </c>
      <c r="J208" s="5">
        <v>40000000</v>
      </c>
      <c r="K208" s="5">
        <v>40000000</v>
      </c>
      <c r="L208" s="6">
        <f t="shared" si="3"/>
        <v>135000000</v>
      </c>
    </row>
    <row r="209" spans="1:12">
      <c r="A209" s="1">
        <v>214</v>
      </c>
      <c r="B209" s="1" t="s">
        <v>226</v>
      </c>
      <c r="C209" s="1" t="s">
        <v>62</v>
      </c>
      <c r="D209" s="1" t="s">
        <v>191</v>
      </c>
      <c r="E209" s="4" t="str">
        <v>Yudistira</v>
      </c>
      <c r="F209" s="5" t="str">
        <v>Denisahri N. P</v>
      </c>
      <c r="G209" s="4" t="str">
        <v>Eko Budi Setiawan</v>
      </c>
      <c r="H209" s="5">
        <v>20000000</v>
      </c>
      <c r="I209" s="5">
        <v>25000000</v>
      </c>
      <c r="J209" s="5">
        <v>25000000</v>
      </c>
      <c r="K209" s="5">
        <v>30000000</v>
      </c>
      <c r="L209" s="6">
        <f t="shared" si="3"/>
        <v>100000000</v>
      </c>
    </row>
    <row r="210" spans="1:12">
      <c r="A210" s="1">
        <v>24</v>
      </c>
      <c r="B210" s="3" t="s">
        <v>227</v>
      </c>
      <c r="C210" s="1" t="s">
        <v>62</v>
      </c>
      <c r="D210" s="1" t="s">
        <v>63</v>
      </c>
      <c r="E210" s="4" t="str">
        <v>Yusuf</v>
      </c>
      <c r="F210" s="4" t="str">
        <v>Denisahri N. P</v>
      </c>
      <c r="G210" s="4" t="str">
        <v>Septania Fathorosi</v>
      </c>
      <c r="H210" s="5">
        <v>16000000</v>
      </c>
      <c r="I210" s="5">
        <v>25000000</v>
      </c>
      <c r="J210" s="5">
        <v>25000000</v>
      </c>
      <c r="K210" s="5">
        <v>34000000</v>
      </c>
      <c r="L210" s="6">
        <f t="shared" si="3"/>
        <v>100000000</v>
      </c>
    </row>
    <row r="211" spans="1:12">
      <c r="A211" s="1">
        <v>135</v>
      </c>
      <c r="B211" s="3" t="s">
        <v>228</v>
      </c>
      <c r="C211" s="1" t="s">
        <v>62</v>
      </c>
      <c r="D211" s="1" t="s">
        <v>63</v>
      </c>
      <c r="E211" s="4" t="str">
        <v>Yusuf</v>
      </c>
      <c r="F211" s="4" t="str">
        <v>Denisahri N. P</v>
      </c>
      <c r="G211" s="4" t="str">
        <v>Septania Fathorosi</v>
      </c>
      <c r="H211" s="5">
        <v>150000000</v>
      </c>
      <c r="I211" s="5">
        <v>200000000</v>
      </c>
      <c r="J211" s="5">
        <v>215000000</v>
      </c>
      <c r="K211" s="5">
        <v>220000000</v>
      </c>
      <c r="L211" s="6">
        <f t="shared" si="3"/>
        <v>785000000</v>
      </c>
    </row>
    <row r="212" spans="1:12">
      <c r="A212" s="1">
        <v>139</v>
      </c>
      <c r="B212" s="3" t="s">
        <v>229</v>
      </c>
      <c r="C212" s="1" t="s">
        <v>62</v>
      </c>
      <c r="D212" s="1" t="s">
        <v>63</v>
      </c>
      <c r="E212" s="4" t="str">
        <v>Yusuf</v>
      </c>
      <c r="F212" s="4" t="str">
        <v>Denisahri N. P</v>
      </c>
      <c r="G212" s="4" t="str">
        <v>Septania Fathorosi</v>
      </c>
      <c r="H212" s="5">
        <v>16000000</v>
      </c>
      <c r="I212" s="5">
        <v>25000000</v>
      </c>
      <c r="J212" s="5">
        <v>29000000</v>
      </c>
      <c r="K212" s="5">
        <v>30000000</v>
      </c>
      <c r="L212" s="6">
        <f t="shared" si="3"/>
        <v>100000000</v>
      </c>
    </row>
    <row r="213" spans="1:12">
      <c r="A213" s="1">
        <v>166</v>
      </c>
      <c r="B213" s="3" t="s">
        <v>230</v>
      </c>
      <c r="C213" s="1" t="s">
        <v>62</v>
      </c>
      <c r="D213" s="1" t="s">
        <v>63</v>
      </c>
      <c r="E213" s="4" t="str">
        <v>Yusuf</v>
      </c>
      <c r="F213" s="4" t="str">
        <v>Denisahri N. P</v>
      </c>
      <c r="G213" s="4" t="str">
        <v>Septania Fathorosi</v>
      </c>
      <c r="H213" s="5">
        <v>45000000</v>
      </c>
      <c r="I213" s="5">
        <v>55000000</v>
      </c>
      <c r="J213" s="5">
        <v>60000000</v>
      </c>
      <c r="K213" s="5">
        <v>65000000</v>
      </c>
      <c r="L213" s="6">
        <f t="shared" si="3"/>
        <v>225000000</v>
      </c>
    </row>
    <row r="214" spans="1:12">
      <c r="A214" s="1">
        <v>183</v>
      </c>
      <c r="B214" s="3" t="s">
        <v>231</v>
      </c>
      <c r="C214" s="1" t="s">
        <v>62</v>
      </c>
      <c r="D214" s="1" t="s">
        <v>63</v>
      </c>
      <c r="E214" s="4" t="str">
        <v>Yusuf</v>
      </c>
      <c r="F214" s="4" t="str">
        <v>Denisahri N. P</v>
      </c>
      <c r="G214" s="4" t="str">
        <v>Septania Fathorosi</v>
      </c>
      <c r="H214" s="5">
        <v>30000000</v>
      </c>
      <c r="I214" s="5">
        <v>35000000</v>
      </c>
      <c r="J214" s="5">
        <v>40000000</v>
      </c>
      <c r="K214" s="5">
        <v>40000000</v>
      </c>
      <c r="L214" s="6">
        <f t="shared" si="3"/>
        <v>145000000</v>
      </c>
    </row>
    <row r="215" spans="1:12">
      <c r="A215" s="1">
        <v>189</v>
      </c>
      <c r="B215" s="3" t="s">
        <v>232</v>
      </c>
      <c r="C215" s="1" t="s">
        <v>62</v>
      </c>
      <c r="D215" s="1" t="s">
        <v>63</v>
      </c>
      <c r="E215" s="4" t="str">
        <v>Yusuf</v>
      </c>
      <c r="F215" s="4" t="str">
        <v>Denisahri N. P</v>
      </c>
      <c r="G215" s="4" t="str">
        <v>Septania Fathorosi</v>
      </c>
      <c r="H215" s="5">
        <v>16000000</v>
      </c>
      <c r="I215" s="5">
        <v>25000000</v>
      </c>
      <c r="J215" s="5">
        <v>29000000</v>
      </c>
      <c r="K215" s="5">
        <v>30000000</v>
      </c>
      <c r="L215" s="6">
        <f t="shared" si="3"/>
        <v>100000000</v>
      </c>
    </row>
    <row r="216" spans="1:12">
      <c r="A216" s="1">
        <v>218</v>
      </c>
      <c r="B216" s="3" t="s">
        <v>233</v>
      </c>
      <c r="C216" s="1" t="s">
        <v>62</v>
      </c>
      <c r="D216" s="1" t="s">
        <v>63</v>
      </c>
      <c r="E216" s="4" t="str">
        <v>Sigit</v>
      </c>
      <c r="F216" s="4" t="str">
        <v>Denisahri N. P</v>
      </c>
      <c r="G216" s="4" t="str">
        <v>Hari Suseno</v>
      </c>
      <c r="H216" s="5">
        <v>23000000</v>
      </c>
      <c r="I216" s="5">
        <v>27000000</v>
      </c>
      <c r="J216" s="5">
        <v>35000000</v>
      </c>
      <c r="K216" s="5">
        <v>40000000</v>
      </c>
      <c r="L216" s="6">
        <f t="shared" si="3"/>
        <v>125000000</v>
      </c>
    </row>
    <row r="217" spans="1:12">
      <c r="A217" s="1">
        <v>225</v>
      </c>
      <c r="B217" s="3" t="s">
        <v>234</v>
      </c>
      <c r="C217" s="1" t="s">
        <v>62</v>
      </c>
      <c r="D217" s="1" t="s">
        <v>63</v>
      </c>
      <c r="E217" s="4" t="str">
        <v>Sigit</v>
      </c>
      <c r="F217" s="4" t="str">
        <v>Denisahri N. P</v>
      </c>
      <c r="G217" s="4" t="str">
        <v>Hari Suseno</v>
      </c>
      <c r="H217" s="5">
        <v>16000000</v>
      </c>
      <c r="I217" s="5">
        <v>25000000</v>
      </c>
      <c r="J217" s="5">
        <v>29000000</v>
      </c>
      <c r="K217" s="5">
        <v>30000000</v>
      </c>
      <c r="L217" s="6">
        <f t="shared" si="3"/>
        <v>100000000</v>
      </c>
    </row>
    <row r="218" spans="1:12">
      <c r="A218" s="1">
        <v>228</v>
      </c>
      <c r="B218" s="3" t="s">
        <v>235</v>
      </c>
      <c r="C218" s="1" t="s">
        <v>62</v>
      </c>
      <c r="D218" s="1" t="s">
        <v>63</v>
      </c>
      <c r="E218" s="4" t="str">
        <v>Yusuf</v>
      </c>
      <c r="F218" s="4" t="str">
        <v>Denisahri N. P</v>
      </c>
      <c r="G218" s="4" t="str">
        <v>Septania Fathorosi</v>
      </c>
      <c r="H218" s="5">
        <v>225000000</v>
      </c>
      <c r="I218" s="5">
        <v>320000000</v>
      </c>
      <c r="J218" s="5">
        <v>330000000</v>
      </c>
      <c r="K218" s="5">
        <v>330000000</v>
      </c>
      <c r="L218" s="6">
        <f t="shared" si="3"/>
        <v>1205000000</v>
      </c>
    </row>
    <row r="219" spans="1:12">
      <c r="A219" s="1">
        <v>229</v>
      </c>
      <c r="B219" s="3" t="s">
        <v>236</v>
      </c>
      <c r="C219" s="1" t="s">
        <v>62</v>
      </c>
      <c r="D219" s="1" t="s">
        <v>63</v>
      </c>
      <c r="E219" s="4" t="str">
        <v>Sigit</v>
      </c>
      <c r="F219" s="4" t="str">
        <v>Denisahri N. P</v>
      </c>
      <c r="G219" s="4" t="str">
        <v>Hari Suseno</v>
      </c>
      <c r="H219" s="5">
        <v>20000000</v>
      </c>
      <c r="I219" s="5">
        <v>20000000</v>
      </c>
      <c r="J219" s="5">
        <v>30000000</v>
      </c>
      <c r="K219" s="5">
        <v>30000000</v>
      </c>
      <c r="L219" s="6">
        <f t="shared" si="3"/>
        <v>100000000</v>
      </c>
    </row>
    <row r="220" spans="1:12">
      <c r="A220" s="1">
        <v>9</v>
      </c>
      <c r="B220" s="3" t="s">
        <v>237</v>
      </c>
      <c r="C220" s="1" t="s">
        <v>62</v>
      </c>
      <c r="D220" s="1" t="s">
        <v>63</v>
      </c>
      <c r="E220" s="4" t="str">
        <v>Zein</v>
      </c>
      <c r="F220" s="4" t="str">
        <v>Hendra Al Aziz</v>
      </c>
      <c r="G220" s="4" t="str">
        <v>Sopian</v>
      </c>
      <c r="H220" s="5">
        <v>80000000</v>
      </c>
      <c r="I220" s="9">
        <v>111000000</v>
      </c>
      <c r="J220" s="9">
        <v>120000000</v>
      </c>
      <c r="K220" s="9">
        <v>125000000</v>
      </c>
      <c r="L220" s="6">
        <f t="shared" si="3"/>
        <v>436000000</v>
      </c>
    </row>
    <row r="221" spans="1:12">
      <c r="A221" s="1">
        <v>10</v>
      </c>
      <c r="B221" s="3" t="s">
        <v>238</v>
      </c>
      <c r="C221" s="1" t="s">
        <v>62</v>
      </c>
      <c r="D221" s="1" t="s">
        <v>63</v>
      </c>
      <c r="E221" s="4" t="str">
        <v>Zein</v>
      </c>
      <c r="F221" s="4" t="str">
        <v>Hendra Al Aziz</v>
      </c>
      <c r="G221" s="4" t="str">
        <v>Sopian</v>
      </c>
      <c r="H221" s="5">
        <v>45000000</v>
      </c>
      <c r="I221" s="9">
        <v>55000000</v>
      </c>
      <c r="J221" s="9">
        <v>55000000</v>
      </c>
      <c r="K221" s="9">
        <v>60000000</v>
      </c>
      <c r="L221" s="6">
        <f t="shared" si="3"/>
        <v>215000000</v>
      </c>
    </row>
    <row r="222" spans="1:12">
      <c r="A222" s="1">
        <v>12</v>
      </c>
      <c r="B222" s="3" t="s">
        <v>239</v>
      </c>
      <c r="C222" s="1" t="s">
        <v>62</v>
      </c>
      <c r="D222" s="1" t="s">
        <v>63</v>
      </c>
      <c r="E222" s="4" t="str">
        <v>Zein</v>
      </c>
      <c r="F222" s="4" t="str">
        <v>Hendra Al Aziz</v>
      </c>
      <c r="G222" s="4" t="str">
        <v>Sopian</v>
      </c>
      <c r="H222" s="5">
        <v>35000000</v>
      </c>
      <c r="I222" s="9">
        <v>45000000</v>
      </c>
      <c r="J222" s="9">
        <v>48000000</v>
      </c>
      <c r="K222" s="9">
        <v>50000000</v>
      </c>
      <c r="L222" s="6">
        <f t="shared" si="3"/>
        <v>178000000</v>
      </c>
    </row>
    <row r="223" spans="1:12">
      <c r="A223" s="1">
        <v>15</v>
      </c>
      <c r="B223" s="3" t="s">
        <v>240</v>
      </c>
      <c r="C223" s="1" t="s">
        <v>62</v>
      </c>
      <c r="D223" s="1" t="s">
        <v>63</v>
      </c>
      <c r="E223" s="4" t="str">
        <v>Zein</v>
      </c>
      <c r="F223" s="4" t="str">
        <v>Hendra Al Aziz</v>
      </c>
      <c r="G223" s="4" t="str">
        <v>Sopian</v>
      </c>
      <c r="H223" s="5">
        <v>35000000</v>
      </c>
      <c r="I223" s="9">
        <v>45000000</v>
      </c>
      <c r="J223" s="9">
        <v>48000000</v>
      </c>
      <c r="K223" s="9">
        <v>50000000</v>
      </c>
      <c r="L223" s="6">
        <f t="shared" si="3"/>
        <v>178000000</v>
      </c>
    </row>
    <row r="224" spans="1:12">
      <c r="A224" s="1">
        <v>19</v>
      </c>
      <c r="B224" s="3" t="s">
        <v>241</v>
      </c>
      <c r="C224" s="1" t="s">
        <v>62</v>
      </c>
      <c r="D224" s="1" t="s">
        <v>63</v>
      </c>
      <c r="E224" s="4" t="str">
        <v>Zein</v>
      </c>
      <c r="F224" s="4" t="str">
        <v>Hendra Al Aziz</v>
      </c>
      <c r="G224" s="4" t="str">
        <v>Sopian</v>
      </c>
      <c r="H224" s="5">
        <v>35000000</v>
      </c>
      <c r="I224" s="9">
        <v>45000000</v>
      </c>
      <c r="J224" s="9">
        <v>48000000</v>
      </c>
      <c r="K224" s="9">
        <v>50000000</v>
      </c>
      <c r="L224" s="6">
        <f t="shared" si="3"/>
        <v>178000000</v>
      </c>
    </row>
    <row r="225" spans="1:12">
      <c r="A225" s="1">
        <v>137</v>
      </c>
      <c r="B225" s="3" t="s">
        <v>242</v>
      </c>
      <c r="C225" s="1" t="s">
        <v>62</v>
      </c>
      <c r="D225" s="1" t="s">
        <v>63</v>
      </c>
      <c r="E225" s="4" t="str">
        <v>Zein</v>
      </c>
      <c r="F225" s="5" t="str">
        <v>Hendra Al Aziz</v>
      </c>
      <c r="G225" s="4" t="str">
        <v>Rizal</v>
      </c>
      <c r="H225" s="5">
        <v>25000000</v>
      </c>
      <c r="I225" s="9">
        <v>32000000</v>
      </c>
      <c r="J225" s="9">
        <v>35000000</v>
      </c>
      <c r="K225" s="9">
        <v>35000000</v>
      </c>
      <c r="L225" s="6">
        <f t="shared" si="3"/>
        <v>127000000</v>
      </c>
    </row>
    <row r="226" spans="1:12">
      <c r="A226" s="1">
        <v>150</v>
      </c>
      <c r="B226" s="5" t="s">
        <v>243</v>
      </c>
      <c r="C226" s="1" t="s">
        <v>62</v>
      </c>
      <c r="D226" s="1" t="s">
        <v>63</v>
      </c>
      <c r="E226" s="4" t="str">
        <v>Zein</v>
      </c>
      <c r="F226" s="5" t="str">
        <v>Hendra Al Aziz</v>
      </c>
      <c r="G226" s="4" t="str">
        <v>Rizal</v>
      </c>
      <c r="H226" s="5">
        <v>25000000</v>
      </c>
      <c r="I226" s="9">
        <v>32000000</v>
      </c>
      <c r="J226" s="9">
        <v>35000000</v>
      </c>
      <c r="K226" s="9">
        <v>35000000</v>
      </c>
      <c r="L226" s="6">
        <f t="shared" si="3"/>
        <v>127000000</v>
      </c>
    </row>
    <row r="227" spans="1:12">
      <c r="A227" s="1">
        <v>157</v>
      </c>
      <c r="B227" s="3" t="s">
        <v>244</v>
      </c>
      <c r="C227" s="1" t="s">
        <v>62</v>
      </c>
      <c r="D227" s="1" t="s">
        <v>63</v>
      </c>
      <c r="E227" s="4" t="str">
        <v>Zein</v>
      </c>
      <c r="F227" s="5" t="str">
        <v>Hendra Al Aziz</v>
      </c>
      <c r="G227" s="4" t="str">
        <v>Rizal</v>
      </c>
      <c r="H227" s="5">
        <v>25000000</v>
      </c>
      <c r="I227" s="9">
        <v>32000000</v>
      </c>
      <c r="J227" s="9">
        <v>35000000</v>
      </c>
      <c r="K227" s="9">
        <v>35000000</v>
      </c>
      <c r="L227" s="6">
        <f t="shared" si="3"/>
        <v>127000000</v>
      </c>
    </row>
    <row r="228" spans="1:12">
      <c r="A228" s="1">
        <v>165</v>
      </c>
      <c r="B228" s="3" t="s">
        <v>245</v>
      </c>
      <c r="C228" s="1" t="s">
        <v>62</v>
      </c>
      <c r="D228" s="1" t="s">
        <v>63</v>
      </c>
      <c r="E228" s="4" t="str">
        <v>Zein</v>
      </c>
      <c r="F228" s="4" t="str">
        <v>Hendra Al Aziz</v>
      </c>
      <c r="G228" s="4" t="str">
        <v>Sopian</v>
      </c>
      <c r="H228" s="5">
        <v>40000000</v>
      </c>
      <c r="I228" s="9">
        <v>60000000</v>
      </c>
      <c r="J228" s="9">
        <v>65000000</v>
      </c>
      <c r="K228" s="9">
        <v>68000000</v>
      </c>
      <c r="L228" s="6">
        <f t="shared" si="3"/>
        <v>233000000</v>
      </c>
    </row>
    <row r="229" spans="1:12">
      <c r="A229" s="1">
        <v>217</v>
      </c>
      <c r="B229" s="3" t="s">
        <v>246</v>
      </c>
      <c r="C229" s="1" t="s">
        <v>62</v>
      </c>
      <c r="D229" s="1" t="s">
        <v>63</v>
      </c>
      <c r="E229" s="4" t="str">
        <v>Zein</v>
      </c>
      <c r="F229" s="4" t="str">
        <v>Hendra Al Aziz</v>
      </c>
      <c r="G229" s="4" t="str">
        <v>Sopian</v>
      </c>
      <c r="H229" s="5">
        <v>75000000</v>
      </c>
      <c r="I229" s="9">
        <v>95000000</v>
      </c>
      <c r="J229" s="9">
        <v>105000000</v>
      </c>
      <c r="K229" s="9">
        <v>105000000</v>
      </c>
      <c r="L229" s="6">
        <f t="shared" si="3"/>
        <v>380000000</v>
      </c>
    </row>
    <row r="230" spans="1:12">
      <c r="A230" s="1">
        <v>222</v>
      </c>
      <c r="B230" s="5" t="s">
        <v>247</v>
      </c>
      <c r="C230" s="1" t="s">
        <v>62</v>
      </c>
      <c r="D230" s="1" t="s">
        <v>63</v>
      </c>
      <c r="E230" s="4" t="str">
        <v>Zein</v>
      </c>
      <c r="F230" s="4" t="str">
        <v>Hendra Al Aziz</v>
      </c>
      <c r="G230" s="4" t="str">
        <v>Sopian</v>
      </c>
      <c r="H230" s="5">
        <v>25000000</v>
      </c>
      <c r="I230" s="9">
        <v>30000000</v>
      </c>
      <c r="J230" s="9">
        <v>32000000</v>
      </c>
      <c r="K230" s="9">
        <v>37000000</v>
      </c>
      <c r="L230" s="6">
        <f t="shared" si="3"/>
        <v>124000000</v>
      </c>
    </row>
    <row r="231" spans="1:12">
      <c r="A231" s="1">
        <v>224</v>
      </c>
      <c r="B231" s="3" t="s">
        <v>248</v>
      </c>
      <c r="C231" s="1" t="s">
        <v>62</v>
      </c>
      <c r="D231" s="1" t="s">
        <v>63</v>
      </c>
      <c r="E231" s="4" t="str">
        <v>Zein</v>
      </c>
      <c r="F231" s="5" t="str">
        <v>Hendra Al Aziz</v>
      </c>
      <c r="G231" s="4" t="str">
        <v>Rizal</v>
      </c>
      <c r="H231" s="5">
        <v>81000000</v>
      </c>
      <c r="I231" s="9">
        <v>100000000</v>
      </c>
      <c r="J231" s="9">
        <v>110000000</v>
      </c>
      <c r="K231" s="9">
        <v>115000000</v>
      </c>
      <c r="L231" s="6">
        <f t="shared" si="3"/>
        <v>406000000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ebudi</dc:creator>
  <cp:lastModifiedBy>ebudi</cp:lastModifiedBy>
  <dcterms:created xsi:type="dcterms:W3CDTF">2026-10-27T06:02:00Z</dcterms:created>
  <dcterms:modified xsi:type="dcterms:W3CDTF">2026-10-27T07:22:12Z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15DEF806D35F4A4F89CC4E19F0E8407A_11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